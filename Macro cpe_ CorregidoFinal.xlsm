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L\Downloads\"/>
    </mc:Choice>
  </mc:AlternateContent>
  <xr:revisionPtr revIDLastSave="0" documentId="13_ncr:1_{331CB9A2-83B5-49E3-8054-2478BF6586F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CROS" sheetId="5" r:id="rId1"/>
    <sheet name="FAC_BOL" sheetId="34" r:id="rId2"/>
    <sheet name="CATALOGO" sheetId="36" state="hidden" r:id="rId3"/>
    <sheet name="NC_ND" sheetId="35" state="hidden" r:id="rId4"/>
  </sheets>
  <definedNames>
    <definedName name="_xlnm._FilterDatabase" localSheetId="1" hidden="1">FAC_BOL!#REF!</definedName>
    <definedName name="_xlnm._FilterDatabase" localSheetId="3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6" i="5" l="1"/>
  <c r="A37" i="5" s="1"/>
  <c r="G37" i="5" s="1"/>
  <c r="E39" i="5"/>
  <c r="G39" i="5" s="1"/>
  <c r="E214" i="5"/>
  <c r="A214" i="5" s="1"/>
  <c r="E212" i="5"/>
  <c r="E52" i="5"/>
  <c r="G52" i="5" s="1"/>
  <c r="E48" i="5"/>
  <c r="E55" i="5" s="1"/>
  <c r="A55" i="5" s="1"/>
  <c r="E29" i="5"/>
  <c r="G29" i="5" s="1"/>
  <c r="E30" i="5"/>
  <c r="G30" i="5" s="1"/>
  <c r="G31" i="5"/>
  <c r="G32" i="5"/>
  <c r="G33" i="5"/>
  <c r="G34" i="5"/>
  <c r="G35" i="5"/>
  <c r="G36" i="5"/>
  <c r="E38" i="5"/>
  <c r="G38" i="5" s="1"/>
  <c r="E40" i="5"/>
  <c r="G40" i="5" s="1"/>
  <c r="E41" i="5"/>
  <c r="G41" i="5" s="1"/>
  <c r="E42" i="5"/>
  <c r="G42" i="5" s="1"/>
  <c r="E43" i="5"/>
  <c r="G43" i="5" s="1"/>
  <c r="E44" i="5"/>
  <c r="E45" i="5"/>
  <c r="G47" i="5"/>
  <c r="E49" i="5"/>
  <c r="G49" i="5" s="1"/>
  <c r="E50" i="5"/>
  <c r="G50" i="5" s="1"/>
  <c r="E51" i="5"/>
  <c r="G51" i="5" s="1"/>
  <c r="E53" i="5"/>
  <c r="G53" i="5" s="1"/>
  <c r="G54" i="5"/>
  <c r="E56" i="5"/>
  <c r="E58" i="5"/>
  <c r="G59" i="5"/>
  <c r="G60" i="5"/>
  <c r="G61" i="5"/>
  <c r="G62" i="5"/>
  <c r="E64" i="5"/>
  <c r="A63" i="5" s="1"/>
  <c r="A65" i="5" s="1"/>
  <c r="G65" i="5" s="1"/>
  <c r="E75" i="5"/>
  <c r="G75" i="5" s="1"/>
  <c r="E76" i="5"/>
  <c r="G76" i="5" s="1"/>
  <c r="G77" i="5"/>
  <c r="E78" i="5"/>
  <c r="G78" i="5" s="1"/>
  <c r="E79" i="5"/>
  <c r="G79" i="5" s="1"/>
  <c r="E80" i="5"/>
  <c r="G80" i="5" s="1"/>
  <c r="E81" i="5"/>
  <c r="G81" i="5" s="1"/>
  <c r="E82" i="5"/>
  <c r="G82" i="5" s="1"/>
  <c r="E84" i="5"/>
  <c r="G84" i="5" s="1"/>
  <c r="G85" i="5"/>
  <c r="E86" i="5"/>
  <c r="G86" i="5" s="1"/>
  <c r="E87" i="5"/>
  <c r="G87" i="5" s="1"/>
  <c r="E89" i="5"/>
  <c r="A89" i="5" s="1"/>
  <c r="E91" i="5"/>
  <c r="E92" i="5"/>
  <c r="E93" i="5"/>
  <c r="E94" i="5"/>
  <c r="E95" i="5"/>
  <c r="E97" i="5"/>
  <c r="E96" i="5" s="1"/>
  <c r="E99" i="5"/>
  <c r="E100" i="5"/>
  <c r="E102" i="5"/>
  <c r="A102" i="5" s="1"/>
  <c r="E115" i="5"/>
  <c r="A115" i="5" s="1"/>
  <c r="A114" i="5" s="1"/>
  <c r="G114" i="5" s="1"/>
  <c r="E128" i="5"/>
  <c r="A128" i="5" s="1"/>
  <c r="E141" i="5"/>
  <c r="A141" i="5" s="1"/>
  <c r="E154" i="5"/>
  <c r="A154" i="5" s="1"/>
  <c r="E167" i="5"/>
  <c r="A167" i="5" s="1"/>
  <c r="E180" i="5"/>
  <c r="A180" i="5" s="1"/>
  <c r="E193" i="5"/>
  <c r="A193" i="5" s="1"/>
  <c r="E209" i="5"/>
  <c r="A205" i="5" s="1"/>
  <c r="A206" i="5" s="1"/>
  <c r="G206" i="5" s="1"/>
  <c r="E217" i="5"/>
  <c r="A217" i="5" s="1"/>
  <c r="E220" i="5"/>
  <c r="A220" i="5" s="1"/>
  <c r="E223" i="5"/>
  <c r="A223" i="5" s="1"/>
  <c r="E226" i="5"/>
  <c r="A226" i="5" s="1"/>
  <c r="E230" i="5"/>
  <c r="A230" i="5" s="1"/>
  <c r="A228" i="5" s="1"/>
  <c r="G228" i="5" s="1"/>
  <c r="E234" i="5"/>
  <c r="A234" i="5" s="1"/>
  <c r="E238" i="5"/>
  <c r="A238" i="5" s="1"/>
  <c r="A236" i="5" s="1"/>
  <c r="G236" i="5" s="1"/>
  <c r="E242" i="5"/>
  <c r="A242" i="5" s="1"/>
  <c r="A239" i="5" s="1"/>
  <c r="G239" i="5" s="1"/>
  <c r="E246" i="5"/>
  <c r="A246" i="5" s="1"/>
  <c r="E250" i="5"/>
  <c r="A250" i="5" s="1"/>
  <c r="E254" i="5"/>
  <c r="A254" i="5" s="1"/>
  <c r="E258" i="5"/>
  <c r="A258" i="5" s="1"/>
  <c r="E262" i="5"/>
  <c r="A262" i="5" s="1"/>
  <c r="E266" i="5"/>
  <c r="A266" i="5" s="1"/>
  <c r="E270" i="5"/>
  <c r="A270" i="5" s="1"/>
  <c r="E274" i="5"/>
  <c r="A274" i="5" s="1"/>
  <c r="A271" i="5" s="1"/>
  <c r="G271" i="5" s="1"/>
  <c r="E278" i="5"/>
  <c r="A278" i="5" s="1"/>
  <c r="E282" i="5"/>
  <c r="A282" i="5" s="1"/>
  <c r="E286" i="5"/>
  <c r="A286" i="5" s="1"/>
  <c r="E290" i="5"/>
  <c r="A290" i="5" s="1"/>
  <c r="E294" i="5"/>
  <c r="A294" i="5" s="1"/>
  <c r="E298" i="5"/>
  <c r="A298" i="5" s="1"/>
  <c r="E302" i="5"/>
  <c r="A302" i="5" s="1"/>
  <c r="E306" i="5"/>
  <c r="A306" i="5" s="1"/>
  <c r="A303" i="5" s="1"/>
  <c r="G303" i="5" s="1"/>
  <c r="E308" i="5"/>
  <c r="A308" i="5" s="1"/>
  <c r="E313" i="5"/>
  <c r="A313" i="5" s="1"/>
  <c r="E317" i="5"/>
  <c r="A317" i="5" s="1"/>
  <c r="A319" i="5" s="1"/>
  <c r="G319" i="5" s="1"/>
  <c r="G28" i="5"/>
  <c r="E311" i="5"/>
  <c r="E310" i="5"/>
  <c r="E309" i="5"/>
  <c r="E213" i="5"/>
  <c r="E207" i="5"/>
  <c r="E204" i="5"/>
  <c r="E203" i="5"/>
  <c r="E201" i="5"/>
  <c r="E199" i="5"/>
  <c r="E198" i="5"/>
  <c r="E197" i="5"/>
  <c r="E196" i="5"/>
  <c r="E195" i="5"/>
  <c r="E191" i="5"/>
  <c r="E190" i="5"/>
  <c r="E188" i="5"/>
  <c r="E187" i="5" s="1"/>
  <c r="E186" i="5"/>
  <c r="E185" i="5"/>
  <c r="E184" i="5"/>
  <c r="E183" i="5"/>
  <c r="E182" i="5"/>
  <c r="E178" i="5"/>
  <c r="E177" i="5"/>
  <c r="E175" i="5"/>
  <c r="E174" i="5" s="1"/>
  <c r="E173" i="5"/>
  <c r="E172" i="5"/>
  <c r="E171" i="5"/>
  <c r="E170" i="5"/>
  <c r="E169" i="5"/>
  <c r="E165" i="5"/>
  <c r="E164" i="5"/>
  <c r="E162" i="5"/>
  <c r="E161" i="5" s="1"/>
  <c r="E160" i="5"/>
  <c r="E159" i="5"/>
  <c r="E158" i="5"/>
  <c r="E157" i="5"/>
  <c r="E156" i="5"/>
  <c r="E153" i="5"/>
  <c r="E152" i="5"/>
  <c r="E151" i="5"/>
  <c r="E149" i="5"/>
  <c r="E148" i="5" s="1"/>
  <c r="E147" i="5"/>
  <c r="E146" i="5"/>
  <c r="E145" i="5"/>
  <c r="E144" i="5"/>
  <c r="E143" i="5"/>
  <c r="E138" i="5"/>
  <c r="E136" i="5"/>
  <c r="E135" i="5" s="1"/>
  <c r="E139" i="5"/>
  <c r="E134" i="5"/>
  <c r="E133" i="5"/>
  <c r="E132" i="5"/>
  <c r="E131" i="5"/>
  <c r="E130" i="5"/>
  <c r="E126" i="5"/>
  <c r="E125" i="5"/>
  <c r="E123" i="5"/>
  <c r="E122" i="5" s="1"/>
  <c r="E121" i="5"/>
  <c r="E120" i="5"/>
  <c r="E119" i="5"/>
  <c r="E118" i="5"/>
  <c r="E117" i="5"/>
  <c r="E113" i="5"/>
  <c r="E112" i="5"/>
  <c r="E110" i="5"/>
  <c r="E109" i="5" s="1"/>
  <c r="E108" i="5"/>
  <c r="E107" i="5"/>
  <c r="E106" i="5"/>
  <c r="E105" i="5"/>
  <c r="E104" i="5"/>
  <c r="E65" i="5"/>
  <c r="E66" i="5"/>
  <c r="E68" i="5"/>
  <c r="E72" i="5"/>
  <c r="D37" i="36"/>
  <c r="E114" i="5"/>
  <c r="E127" i="5"/>
  <c r="E140" i="5"/>
  <c r="E166" i="5"/>
  <c r="E179" i="5"/>
  <c r="E192" i="5"/>
  <c r="E101" i="5"/>
  <c r="E88" i="5"/>
  <c r="E206" i="5"/>
  <c r="H13" i="35"/>
  <c r="I13" i="35" s="1"/>
  <c r="H12" i="35"/>
  <c r="I12" i="35" s="1"/>
  <c r="H11" i="35"/>
  <c r="I11" i="35" s="1"/>
  <c r="H10" i="35"/>
  <c r="I10" i="35"/>
  <c r="H9" i="35"/>
  <c r="I9" i="35" s="1"/>
  <c r="H8" i="35"/>
  <c r="I8" i="35" s="1"/>
  <c r="H7" i="35"/>
  <c r="I7" i="35" s="1"/>
  <c r="H6" i="35"/>
  <c r="I6" i="35"/>
  <c r="H5" i="35"/>
  <c r="I5" i="35" s="1"/>
  <c r="H4" i="35"/>
  <c r="I4" i="35" s="1"/>
  <c r="H3" i="35"/>
  <c r="I3" i="35" s="1"/>
  <c r="H2" i="35"/>
  <c r="I2" i="35"/>
  <c r="G48" i="5" l="1"/>
  <c r="G294" i="5"/>
  <c r="A292" i="5"/>
  <c r="G292" i="5" s="1"/>
  <c r="A257" i="5"/>
  <c r="G257" i="5" s="1"/>
  <c r="A256" i="5"/>
  <c r="G256" i="5" s="1"/>
  <c r="G282" i="5"/>
  <c r="A281" i="5"/>
  <c r="G281" i="5" s="1"/>
  <c r="G250" i="5"/>
  <c r="A249" i="5"/>
  <c r="G249" i="5" s="1"/>
  <c r="A248" i="5"/>
  <c r="G248" i="5" s="1"/>
  <c r="A184" i="5"/>
  <c r="G184" i="5" s="1"/>
  <c r="A179" i="5"/>
  <c r="G179" i="5" s="1"/>
  <c r="A280" i="5"/>
  <c r="G280" i="5" s="1"/>
  <c r="A261" i="5"/>
  <c r="G261" i="5" s="1"/>
  <c r="A260" i="5"/>
  <c r="G260" i="5" s="1"/>
  <c r="A169" i="5"/>
  <c r="G169" i="5" s="1"/>
  <c r="A170" i="5"/>
  <c r="G170" i="5" s="1"/>
  <c r="A178" i="5"/>
  <c r="G178" i="5" s="1"/>
  <c r="A168" i="5"/>
  <c r="G168" i="5" s="1"/>
  <c r="A171" i="5"/>
  <c r="G171" i="5" s="1"/>
  <c r="A176" i="5"/>
  <c r="G176" i="5" s="1"/>
  <c r="A172" i="5"/>
  <c r="G172" i="5" s="1"/>
  <c r="A174" i="5"/>
  <c r="G174" i="5" s="1"/>
  <c r="A175" i="5"/>
  <c r="G175" i="5" s="1"/>
  <c r="G167" i="5"/>
  <c r="A289" i="5"/>
  <c r="G289" i="5" s="1"/>
  <c r="A287" i="5"/>
  <c r="G287" i="5" s="1"/>
  <c r="A288" i="5"/>
  <c r="G288" i="5" s="1"/>
  <c r="G141" i="5"/>
  <c r="A149" i="5"/>
  <c r="G149" i="5" s="1"/>
  <c r="A140" i="5"/>
  <c r="G140" i="5" s="1"/>
  <c r="A152" i="5"/>
  <c r="G152" i="5" s="1"/>
  <c r="A144" i="5"/>
  <c r="G144" i="5" s="1"/>
  <c r="A145" i="5"/>
  <c r="G145" i="5" s="1"/>
  <c r="A148" i="5"/>
  <c r="G148" i="5" s="1"/>
  <c r="A300" i="5"/>
  <c r="G300" i="5" s="1"/>
  <c r="A299" i="5"/>
  <c r="G299" i="5" s="1"/>
  <c r="A268" i="5"/>
  <c r="G268" i="5" s="1"/>
  <c r="A267" i="5"/>
  <c r="G267" i="5" s="1"/>
  <c r="A192" i="5"/>
  <c r="G192" i="5" s="1"/>
  <c r="A200" i="5"/>
  <c r="G200" i="5" s="1"/>
  <c r="A195" i="5"/>
  <c r="G195" i="5" s="1"/>
  <c r="A201" i="5"/>
  <c r="G201" i="5" s="1"/>
  <c r="A199" i="5"/>
  <c r="G199" i="5" s="1"/>
  <c r="A196" i="5"/>
  <c r="G196" i="5" s="1"/>
  <c r="A197" i="5"/>
  <c r="G197" i="5" s="1"/>
  <c r="A202" i="5"/>
  <c r="G202" i="5" s="1"/>
  <c r="A198" i="5"/>
  <c r="G198" i="5" s="1"/>
  <c r="A203" i="5"/>
  <c r="G203" i="5" s="1"/>
  <c r="A194" i="5"/>
  <c r="G194" i="5" s="1"/>
  <c r="G193" i="5"/>
  <c r="A204" i="5"/>
  <c r="G204" i="5" s="1"/>
  <c r="E83" i="5"/>
  <c r="G83" i="5" s="1"/>
  <c r="A255" i="5"/>
  <c r="G255" i="5" s="1"/>
  <c r="A235" i="5"/>
  <c r="G235" i="5" s="1"/>
  <c r="E210" i="5"/>
  <c r="G205" i="5"/>
  <c r="G254" i="5"/>
  <c r="A251" i="5"/>
  <c r="G251" i="5" s="1"/>
  <c r="A252" i="5"/>
  <c r="G252" i="5" s="1"/>
  <c r="A253" i="5"/>
  <c r="G253" i="5" s="1"/>
  <c r="A103" i="5"/>
  <c r="G103" i="5" s="1"/>
  <c r="A107" i="5"/>
  <c r="G107" i="5" s="1"/>
  <c r="A111" i="5"/>
  <c r="G111" i="5" s="1"/>
  <c r="A106" i="5"/>
  <c r="G106" i="5" s="1"/>
  <c r="G102" i="5"/>
  <c r="A104" i="5"/>
  <c r="G104" i="5" s="1"/>
  <c r="A108" i="5"/>
  <c r="G108" i="5" s="1"/>
  <c r="A112" i="5"/>
  <c r="G112" i="5" s="1"/>
  <c r="A105" i="5"/>
  <c r="G105" i="5" s="1"/>
  <c r="A109" i="5"/>
  <c r="G109" i="5" s="1"/>
  <c r="A113" i="5"/>
  <c r="G113" i="5" s="1"/>
  <c r="A101" i="5"/>
  <c r="G101" i="5" s="1"/>
  <c r="A110" i="5"/>
  <c r="G110" i="5" s="1"/>
  <c r="A296" i="5"/>
  <c r="G296" i="5" s="1"/>
  <c r="A297" i="5"/>
  <c r="G297" i="5" s="1"/>
  <c r="G298" i="5"/>
  <c r="A295" i="5"/>
  <c r="G295" i="5" s="1"/>
  <c r="G286" i="5"/>
  <c r="A285" i="5"/>
  <c r="G285" i="5" s="1"/>
  <c r="A283" i="5"/>
  <c r="G283" i="5" s="1"/>
  <c r="A284" i="5"/>
  <c r="G284" i="5" s="1"/>
  <c r="A100" i="5"/>
  <c r="G100" i="5" s="1"/>
  <c r="A91" i="5"/>
  <c r="G91" i="5" s="1"/>
  <c r="A94" i="5"/>
  <c r="G94" i="5" s="1"/>
  <c r="A88" i="5"/>
  <c r="G88" i="5" s="1"/>
  <c r="A92" i="5"/>
  <c r="G92" i="5" s="1"/>
  <c r="A97" i="5"/>
  <c r="G97" i="5" s="1"/>
  <c r="A95" i="5"/>
  <c r="G95" i="5" s="1"/>
  <c r="G89" i="5"/>
  <c r="A98" i="5"/>
  <c r="G98" i="5" s="1"/>
  <c r="A90" i="5"/>
  <c r="G90" i="5" s="1"/>
  <c r="A93" i="5"/>
  <c r="G93" i="5" s="1"/>
  <c r="A96" i="5"/>
  <c r="G96" i="5" s="1"/>
  <c r="A99" i="5"/>
  <c r="G99" i="5" s="1"/>
  <c r="A276" i="5"/>
  <c r="G276" i="5" s="1"/>
  <c r="A275" i="5"/>
  <c r="G275" i="5" s="1"/>
  <c r="G278" i="5"/>
  <c r="A277" i="5"/>
  <c r="G277" i="5" s="1"/>
  <c r="A157" i="5"/>
  <c r="G157" i="5" s="1"/>
  <c r="A161" i="5"/>
  <c r="G161" i="5" s="1"/>
  <c r="A165" i="5"/>
  <c r="G165" i="5" s="1"/>
  <c r="A153" i="5"/>
  <c r="G153" i="5" s="1"/>
  <c r="A158" i="5"/>
  <c r="G158" i="5" s="1"/>
  <c r="A162" i="5"/>
  <c r="G162" i="5" s="1"/>
  <c r="G154" i="5"/>
  <c r="A156" i="5"/>
  <c r="G156" i="5" s="1"/>
  <c r="A164" i="5"/>
  <c r="G164" i="5" s="1"/>
  <c r="A155" i="5"/>
  <c r="G155" i="5" s="1"/>
  <c r="A159" i="5"/>
  <c r="G159" i="5" s="1"/>
  <c r="A163" i="5"/>
  <c r="G163" i="5" s="1"/>
  <c r="A160" i="5"/>
  <c r="G160" i="5" s="1"/>
  <c r="A243" i="5"/>
  <c r="G243" i="5" s="1"/>
  <c r="A244" i="5"/>
  <c r="G244" i="5" s="1"/>
  <c r="A245" i="5"/>
  <c r="G245" i="5" s="1"/>
  <c r="G246" i="5"/>
  <c r="A130" i="5"/>
  <c r="G130" i="5" s="1"/>
  <c r="A134" i="5"/>
  <c r="G134" i="5" s="1"/>
  <c r="A138" i="5"/>
  <c r="G138" i="5" s="1"/>
  <c r="A129" i="5"/>
  <c r="G129" i="5" s="1"/>
  <c r="A131" i="5"/>
  <c r="G131" i="5" s="1"/>
  <c r="A135" i="5"/>
  <c r="G135" i="5" s="1"/>
  <c r="A139" i="5"/>
  <c r="G139" i="5" s="1"/>
  <c r="A127" i="5"/>
  <c r="G127" i="5" s="1"/>
  <c r="A133" i="5"/>
  <c r="G133" i="5" s="1"/>
  <c r="A132" i="5"/>
  <c r="G132" i="5" s="1"/>
  <c r="A136" i="5"/>
  <c r="G136" i="5" s="1"/>
  <c r="A137" i="5"/>
  <c r="G137" i="5" s="1"/>
  <c r="G128" i="5"/>
  <c r="A264" i="5"/>
  <c r="G264" i="5" s="1"/>
  <c r="A263" i="5"/>
  <c r="G263" i="5" s="1"/>
  <c r="A265" i="5"/>
  <c r="G265" i="5" s="1"/>
  <c r="G266" i="5"/>
  <c r="G306" i="5"/>
  <c r="G242" i="5"/>
  <c r="G302" i="5"/>
  <c r="A291" i="5"/>
  <c r="G291" i="5" s="1"/>
  <c r="G270" i="5"/>
  <c r="A259" i="5"/>
  <c r="G259" i="5" s="1"/>
  <c r="G238" i="5"/>
  <c r="A125" i="5"/>
  <c r="G125" i="5" s="1"/>
  <c r="A121" i="5"/>
  <c r="G121" i="5" s="1"/>
  <c r="A117" i="5"/>
  <c r="G117" i="5" s="1"/>
  <c r="A122" i="5"/>
  <c r="G122" i="5" s="1"/>
  <c r="A241" i="5"/>
  <c r="G241" i="5" s="1"/>
  <c r="A190" i="5"/>
  <c r="G190" i="5" s="1"/>
  <c r="A186" i="5"/>
  <c r="G186" i="5" s="1"/>
  <c r="A182" i="5"/>
  <c r="G182" i="5" s="1"/>
  <c r="A166" i="5"/>
  <c r="G166" i="5" s="1"/>
  <c r="A187" i="5"/>
  <c r="G187" i="5" s="1"/>
  <c r="G262" i="5"/>
  <c r="A151" i="5"/>
  <c r="G151" i="5" s="1"/>
  <c r="A147" i="5"/>
  <c r="G147" i="5" s="1"/>
  <c r="A143" i="5"/>
  <c r="G143" i="5" s="1"/>
  <c r="A124" i="5"/>
  <c r="G124" i="5" s="1"/>
  <c r="A120" i="5"/>
  <c r="G120" i="5" s="1"/>
  <c r="A116" i="5"/>
  <c r="G116" i="5" s="1"/>
  <c r="A305" i="5"/>
  <c r="G305" i="5" s="1"/>
  <c r="A273" i="5"/>
  <c r="G273" i="5" s="1"/>
  <c r="A269" i="5"/>
  <c r="G269" i="5" s="1"/>
  <c r="A237" i="5"/>
  <c r="G237" i="5" s="1"/>
  <c r="A304" i="5"/>
  <c r="G304" i="5" s="1"/>
  <c r="G290" i="5"/>
  <c r="A279" i="5"/>
  <c r="G279" i="5" s="1"/>
  <c r="A272" i="5"/>
  <c r="G272" i="5" s="1"/>
  <c r="G258" i="5"/>
  <c r="A247" i="5"/>
  <c r="G247" i="5" s="1"/>
  <c r="A240" i="5"/>
  <c r="G240" i="5" s="1"/>
  <c r="A189" i="5"/>
  <c r="G189" i="5" s="1"/>
  <c r="A185" i="5"/>
  <c r="G185" i="5" s="1"/>
  <c r="A181" i="5"/>
  <c r="G181" i="5" s="1"/>
  <c r="G115" i="5"/>
  <c r="A118" i="5"/>
  <c r="G118" i="5" s="1"/>
  <c r="A293" i="5"/>
  <c r="G293" i="5" s="1"/>
  <c r="G180" i="5"/>
  <c r="A177" i="5"/>
  <c r="G177" i="5" s="1"/>
  <c r="A173" i="5"/>
  <c r="G173" i="5" s="1"/>
  <c r="A150" i="5"/>
  <c r="G150" i="5" s="1"/>
  <c r="A146" i="5"/>
  <c r="G146" i="5" s="1"/>
  <c r="A142" i="5"/>
  <c r="G142" i="5" s="1"/>
  <c r="A123" i="5"/>
  <c r="G123" i="5" s="1"/>
  <c r="A119" i="5"/>
  <c r="G119" i="5" s="1"/>
  <c r="A126" i="5"/>
  <c r="G126" i="5" s="1"/>
  <c r="G274" i="5"/>
  <c r="A191" i="5"/>
  <c r="G191" i="5" s="1"/>
  <c r="A183" i="5"/>
  <c r="G183" i="5" s="1"/>
  <c r="A301" i="5"/>
  <c r="G301" i="5" s="1"/>
  <c r="A188" i="5"/>
  <c r="G188" i="5" s="1"/>
  <c r="A44" i="5"/>
  <c r="G44" i="5" s="1"/>
  <c r="A46" i="5"/>
  <c r="A231" i="5"/>
  <c r="G231" i="5" s="1"/>
  <c r="A232" i="5"/>
  <c r="G232" i="5" s="1"/>
  <c r="A233" i="5"/>
  <c r="G233" i="5" s="1"/>
  <c r="G234" i="5"/>
  <c r="A227" i="5"/>
  <c r="G227" i="5" s="1"/>
  <c r="G230" i="5"/>
  <c r="A229" i="5"/>
  <c r="G229" i="5" s="1"/>
  <c r="A225" i="5"/>
  <c r="G225" i="5" s="1"/>
  <c r="G226" i="5"/>
  <c r="A224" i="5"/>
  <c r="G224" i="5" s="1"/>
  <c r="G223" i="5"/>
  <c r="A221" i="5"/>
  <c r="G221" i="5" s="1"/>
  <c r="A222" i="5"/>
  <c r="G222" i="5" s="1"/>
  <c r="G220" i="5"/>
  <c r="A219" i="5"/>
  <c r="G219" i="5" s="1"/>
  <c r="A218" i="5"/>
  <c r="G218" i="5" s="1"/>
  <c r="G217" i="5"/>
  <c r="A215" i="5"/>
  <c r="G215" i="5" s="1"/>
  <c r="A216" i="5"/>
  <c r="G216" i="5" s="1"/>
  <c r="A318" i="5"/>
  <c r="G318" i="5" s="1"/>
  <c r="G317" i="5"/>
  <c r="A316" i="5"/>
  <c r="G316" i="5" s="1"/>
  <c r="A315" i="5"/>
  <c r="G315" i="5" s="1"/>
  <c r="A314" i="5"/>
  <c r="G314" i="5" s="1"/>
  <c r="A312" i="5"/>
  <c r="G312" i="5" s="1"/>
  <c r="G313" i="5"/>
  <c r="A311" i="5"/>
  <c r="G311" i="5" s="1"/>
  <c r="A307" i="5"/>
  <c r="G307" i="5" s="1"/>
  <c r="G308" i="5"/>
  <c r="A310" i="5"/>
  <c r="G310" i="5" s="1"/>
  <c r="A309" i="5"/>
  <c r="G309" i="5" s="1"/>
  <c r="G214" i="5"/>
  <c r="A213" i="5"/>
  <c r="G213" i="5" s="1"/>
  <c r="A211" i="5"/>
  <c r="G211" i="5" s="1"/>
  <c r="A212" i="5"/>
  <c r="G212" i="5" s="1"/>
  <c r="A72" i="5"/>
  <c r="G72" i="5" s="1"/>
  <c r="A68" i="5"/>
  <c r="G68" i="5" s="1"/>
  <c r="A64" i="5"/>
  <c r="G64" i="5" s="1"/>
  <c r="G63" i="5"/>
  <c r="A71" i="5"/>
  <c r="G71" i="5" s="1"/>
  <c r="A74" i="5"/>
  <c r="G74" i="5" s="1"/>
  <c r="A70" i="5"/>
  <c r="G70" i="5" s="1"/>
  <c r="A67" i="5"/>
  <c r="G67" i="5" s="1"/>
  <c r="A66" i="5"/>
  <c r="G66" i="5" s="1"/>
  <c r="A73" i="5"/>
  <c r="G73" i="5" s="1"/>
  <c r="A69" i="5"/>
  <c r="G69" i="5" s="1"/>
  <c r="A209" i="5"/>
  <c r="G209" i="5" s="1"/>
  <c r="A208" i="5"/>
  <c r="G208" i="5" s="1"/>
  <c r="A207" i="5"/>
  <c r="G207" i="5" s="1"/>
  <c r="A210" i="5"/>
  <c r="G210" i="5" s="1"/>
  <c r="G55" i="5"/>
  <c r="A56" i="5"/>
  <c r="G56" i="5" s="1"/>
  <c r="A57" i="5"/>
  <c r="G57" i="5" s="1"/>
  <c r="A58" i="5"/>
  <c r="G58" i="5" s="1"/>
  <c r="G46" i="5" l="1"/>
  <c r="A45" i="5"/>
  <c r="G45" i="5" s="1"/>
  <c r="E200" i="5"/>
</calcChain>
</file>

<file path=xl/sharedStrings.xml><?xml version="1.0" encoding="utf-8"?>
<sst xmlns="http://schemas.openxmlformats.org/spreadsheetml/2006/main" count="1167" uniqueCount="439">
  <si>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</si>
  <si>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</si>
  <si>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</si>
  <si>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</si>
  <si>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</si>
  <si>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</si>
  <si>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</si>
  <si>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</si>
  <si>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</si>
  <si>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</si>
  <si>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</si>
  <si>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</si>
  <si>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</si>
  <si>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</si>
  <si>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</si>
  <si>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</si>
  <si>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</si>
  <si>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</si>
  <si>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</si>
  <si>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</si>
  <si>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</si>
  <si>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</si>
  <si>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</si>
  <si>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</si>
  <si>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</si>
  <si>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</si>
  <si>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</si>
  <si>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</si>
  <si>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</si>
  <si>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</si>
  <si>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</si>
  <si>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</si>
  <si>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</si>
  <si>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</si>
  <si>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</si>
  <si>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</si>
  <si>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</si>
  <si>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</si>
  <si>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</si>
  <si>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</si>
  <si>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</si>
  <si>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</si>
  <si>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</si>
  <si>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</si>
  <si>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</si>
  <si>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</si>
  <si>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</si>
  <si>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</si>
  <si>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</si>
  <si>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</si>
  <si>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</si>
  <si>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</si>
  <si>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</si>
  <si>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</si>
  <si>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</si>
  <si>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PEN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</si>
  <si>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</si>
  <si>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</si>
  <si>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</si>
  <si>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</si>
  <si>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</si>
  <si>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</si>
  <si>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</si>
  <si>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</si>
  <si>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</si>
  <si>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</si>
  <si>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</si>
  <si>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</si>
  <si>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</si>
  <si>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</si>
  <si>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</si>
  <si>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</si>
  <si>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</si>
  <si>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</si>
  <si>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</si>
  <si>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</si>
  <si>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</si>
  <si>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</si>
  <si>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</si>
  <si>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</si>
  <si>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</si>
  <si>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</si>
  <si>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</si>
  <si>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</si>
  <si>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</si>
  <si>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</si>
  <si>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</si>
  <si>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</si>
  <si>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</si>
  <si>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</si>
  <si>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</si>
  <si>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</si>
  <si>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</si>
  <si>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</si>
  <si>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</si>
  <si>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</si>
  <si>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</si>
  <si>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</si>
  <si>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</si>
  <si>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</si>
  <si>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</si>
  <si>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</si>
  <si>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</si>
  <si>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</si>
  <si>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Q_ITEM_1</t>
  </si>
  <si>
    <t>NOM_ITEM_1</t>
  </si>
  <si>
    <t>COD_SUNAT_1</t>
  </si>
  <si>
    <t>PRCITEM_1</t>
  </si>
  <si>
    <t>PRC_SINIGV_1</t>
  </si>
  <si>
    <t>MONTO_ITEM_1</t>
  </si>
  <si>
    <t>Q_ITEM_2</t>
  </si>
  <si>
    <t>NOM_ITEM_2</t>
  </si>
  <si>
    <t>COD_SUNAT_2</t>
  </si>
  <si>
    <t>PRCITEM_2</t>
  </si>
  <si>
    <t>PRC_SINIGV_2</t>
  </si>
  <si>
    <t>MONTO_ITEM_2</t>
  </si>
  <si>
    <t>Q_ITEM_3</t>
  </si>
  <si>
    <t>NOM_ITEM_3</t>
  </si>
  <si>
    <t>COD_SUNAT_3</t>
  </si>
  <si>
    <t>PRCITEM_3</t>
  </si>
  <si>
    <t>PRC_SINIGV_3</t>
  </si>
  <si>
    <t>MONTO_ITEM_3</t>
  </si>
  <si>
    <t>Q_ITEM_4</t>
  </si>
  <si>
    <t>NOM_ITEM_4</t>
  </si>
  <si>
    <t>COD_SUNAT_4</t>
  </si>
  <si>
    <t>PRCITEM_4</t>
  </si>
  <si>
    <t>PRC_SINIGV_4</t>
  </si>
  <si>
    <t>MONTO_ITEM_4</t>
  </si>
  <si>
    <t>Q_ITEM_5</t>
  </si>
  <si>
    <t>NOM_ITEM_5</t>
  </si>
  <si>
    <t>COD_SUNAT_5</t>
  </si>
  <si>
    <t>PRCITEM_5</t>
  </si>
  <si>
    <t>PRC_SINIGV_5</t>
  </si>
  <si>
    <t>MONTO_ITEM_5</t>
  </si>
  <si>
    <t>Q_ITEM_6</t>
  </si>
  <si>
    <t>NOM_ITEM_6</t>
  </si>
  <si>
    <t>COD_SUNAT_6</t>
  </si>
  <si>
    <t>PRCITEM_6</t>
  </si>
  <si>
    <t>PRC_SINIGV_6</t>
  </si>
  <si>
    <t>MONTO_ITEM_6</t>
  </si>
  <si>
    <t>Q_ITEM_7</t>
  </si>
  <si>
    <t>NOM_ITEM_7</t>
  </si>
  <si>
    <t>COD_SUNAT_7</t>
  </si>
  <si>
    <t>PRCITEM_7</t>
  </si>
  <si>
    <t>PRC_SINIGV_7</t>
  </si>
  <si>
    <t>MONTO_ITEM_7</t>
  </si>
  <si>
    <t>Q_ITEM_8</t>
  </si>
  <si>
    <t>NOM_ITEM_8</t>
  </si>
  <si>
    <t>COD_SUNAT_8</t>
  </si>
  <si>
    <t>PRCITEM_8</t>
  </si>
  <si>
    <t>PRC_SINIGV_8</t>
  </si>
  <si>
    <t>MONTO_ITEM_8</t>
  </si>
  <si>
    <t>Q_ITEM_9</t>
  </si>
  <si>
    <t>NOM_ITEM_9</t>
  </si>
  <si>
    <t>COD_SUNAT_9</t>
  </si>
  <si>
    <t>PRCITEM_9</t>
  </si>
  <si>
    <t>PRC_SINIGV_9</t>
  </si>
  <si>
    <t>MONTO_ITEM_9</t>
  </si>
  <si>
    <t>Q_ITEM_10</t>
  </si>
  <si>
    <t>NOM_ITEM_10</t>
  </si>
  <si>
    <t>COD_SUNAT_10</t>
  </si>
  <si>
    <t>PRCITEM_10</t>
  </si>
  <si>
    <t>PRC_SINIGV_10</t>
  </si>
  <si>
    <t>MONTO_ITEM_10</t>
  </si>
  <si>
    <t>CORREO1</t>
  </si>
  <si>
    <t>CORREO2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</si>
  <si>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</si>
  <si>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</si>
  <si>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</si>
  <si>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</si>
  <si>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</si>
  <si>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</si>
  <si>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</si>
  <si>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</si>
  <si>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</si>
  <si>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</si>
  <si>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IGV_1</t>
  </si>
  <si>
    <t>IGV_2</t>
  </si>
  <si>
    <t>IGV_3</t>
  </si>
  <si>
    <t>IGV_4</t>
  </si>
  <si>
    <t>IGV_5</t>
  </si>
  <si>
    <t>IGV_6</t>
  </si>
  <si>
    <t>IGV_7</t>
  </si>
  <si>
    <t>IGV_8</t>
  </si>
  <si>
    <t>IGV_9</t>
  </si>
  <si>
    <t>IGV_10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</si>
  <si>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</si>
  <si>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</si>
  <si>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</si>
  <si>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</si>
  <si>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</si>
  <si>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</si>
  <si>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</si>
  <si>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</si>
  <si>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</si>
  <si>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</si>
  <si>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</si>
  <si>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</si>
  <si>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</si>
  <si>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</si>
  <si>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</si>
  <si>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</si>
  <si>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</si>
  <si>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</si>
  <si>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</si>
  <si>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</si>
  <si>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</si>
  <si>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</si>
  <si>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</si>
  <si>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</si>
  <si>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</si>
  <si>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</si>
  <si>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</si>
  <si>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</si>
  <si>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</si>
  <si>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</si>
  <si>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</si>
  <si>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</si>
  <si>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</si>
  <si>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</si>
  <si>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</si>
  <si>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</si>
  <si>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</si>
  <si>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</si>
  <si>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</si>
  <si>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</si>
  <si>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</si>
  <si>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</si>
  <si>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</si>
  <si>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</si>
  <si>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</si>
  <si>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</si>
  <si>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</si>
  <si>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</si>
  <si>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</si>
  <si>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</si>
  <si>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</si>
  <si>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</si>
  <si>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</si>
  <si>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</si>
  <si>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</si>
  <si>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</si>
  <si>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</si>
  <si>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</si>
  <si>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</si>
  <si>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</si>
  <si>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</si>
  <si>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</si>
  <si>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</si>
  <si>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</si>
  <si>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</si>
  <si>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</si>
  <si>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</si>
  <si>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</si>
  <si>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</si>
  <si>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</si>
  <si>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</si>
  <si>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</si>
  <si>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</si>
  <si>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</si>
  <si>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</si>
  <si>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</si>
  <si>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</si>
  <si>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</si>
  <si>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</si>
  <si>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</si>
  <si>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</si>
  <si>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</si>
  <si>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</si>
  <si>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</si>
  <si>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</si>
  <si>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</si>
  <si>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</si>
  <si>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</si>
  <si>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</si>
  <si>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</si>
  <si>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</si>
  <si>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</si>
  <si>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</si>
  <si>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</si>
  <si>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</si>
  <si>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</si>
  <si>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</si>
  <si>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</si>
  <si>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</si>
  <si>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</si>
  <si>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</si>
  <si>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</si>
  <si>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</si>
  <si>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DESCUENTO_ITEM_1</t>
  </si>
  <si>
    <t>CODIGO_DEC_ITEM_1</t>
  </si>
  <si>
    <t>TIPO_NC_ND</t>
  </si>
  <si>
    <t>MOTIVO_NC_ND</t>
  </si>
  <si>
    <t>DESCUENTO_ITEM_2</t>
  </si>
  <si>
    <t>CODIGO_DEC_ITEM_2</t>
  </si>
  <si>
    <t>DESCUENTO_ITEM_3</t>
  </si>
  <si>
    <t>CODIGO_DEC_ITEM_3</t>
  </si>
  <si>
    <t>DESCUENTO_ITEM_4</t>
  </si>
  <si>
    <t>CODIGO_DEC_ITEM_4</t>
  </si>
  <si>
    <t>DESCUENTO_ITEM_5</t>
  </si>
  <si>
    <t>CODIGO_DEC_ITEM_5</t>
  </si>
  <si>
    <t>DESCUENTO_ITEM_6</t>
  </si>
  <si>
    <t>CODIGO_DEC_ITEM_6</t>
  </si>
  <si>
    <t>DESCUENTO_ITEM_7</t>
  </si>
  <si>
    <t>CODIGO_DEC_ITEM_7</t>
  </si>
  <si>
    <t>DESCUENTO_ITEM_8</t>
  </si>
  <si>
    <t>CODIGO_DEC_ITEM_8</t>
  </si>
  <si>
    <t>DESCUENTO_ITEM_9</t>
  </si>
  <si>
    <t>CODIGO_DEC_ITEM_9</t>
  </si>
  <si>
    <t>DESCUENTO_ITEM_10</t>
  </si>
  <si>
    <t>CODIGO_DEC_ITEM_10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</si>
  <si>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</si>
  <si>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</si>
  <si>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</si>
  <si>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</si>
  <si>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</si>
  <si>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</si>
  <si>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</si>
  <si>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</si>
  <si>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COD_ITEM_1</t>
  </si>
  <si>
    <t>INDEXE_ITEM_1</t>
  </si>
  <si>
    <t>SERIE_LOTE_ITEM_1</t>
  </si>
  <si>
    <t>DESC_DETALLE_ITEM_1</t>
  </si>
  <si>
    <t>COD_ITEM_2</t>
  </si>
  <si>
    <t>INDEXE_ITEM_2</t>
  </si>
  <si>
    <t>SERIE_LOTE_ITEM_2</t>
  </si>
  <si>
    <t>DESC_DETALLE_ITEM_2</t>
  </si>
  <si>
    <t>COD_ITEM_3</t>
  </si>
  <si>
    <t>INDEXE_ITEM_3</t>
  </si>
  <si>
    <t>SERIE_LOTE_ITEM_3</t>
  </si>
  <si>
    <t>DESC_DETALLE_ITEM_3</t>
  </si>
  <si>
    <t>COD_ITEM_4</t>
  </si>
  <si>
    <t>INDEXE_ITEM_4</t>
  </si>
  <si>
    <t>SERIE_LOTE_ITEM_4</t>
  </si>
  <si>
    <t>DESC_DETALLE_ITEM_4</t>
  </si>
  <si>
    <t>COD_ITEM_5</t>
  </si>
  <si>
    <t>INDEXE_ITEM_5</t>
  </si>
  <si>
    <t>SERIE_LOTE_ITEM_5</t>
  </si>
  <si>
    <t>DESC_DETALLE_ITEM_5</t>
  </si>
  <si>
    <t>COD_ITEM_6</t>
  </si>
  <si>
    <t>INDEXE_ITEM_6</t>
  </si>
  <si>
    <t>SERIE_LOTE_ITEM_6</t>
  </si>
  <si>
    <t>DESC_DETALLE_ITEM_6</t>
  </si>
  <si>
    <t>COD_ITEM_7</t>
  </si>
  <si>
    <t>INDEXE_ITEM_7</t>
  </si>
  <si>
    <t>SERIE_LOTE_ITEM_7</t>
  </si>
  <si>
    <t>DESC_DETALLE_ITEM_7</t>
  </si>
  <si>
    <t>COD_ITEM_8</t>
  </si>
  <si>
    <t>INDEXE_ITEM_8</t>
  </si>
  <si>
    <t>SERIE_LOTE_ITEM_8</t>
  </si>
  <si>
    <t>DESC_DETALLE_ITEM_8</t>
  </si>
  <si>
    <t>COD_ITEM_9</t>
  </si>
  <si>
    <t>INDEXE_ITEM_9</t>
  </si>
  <si>
    <t>SERIE_LOTE_ITEM_9</t>
  </si>
  <si>
    <t>DESC_DETALLE_ITEM_9</t>
  </si>
  <si>
    <t>COD_ITEM_10</t>
  </si>
  <si>
    <t>INDEXE_ITEM_10</t>
  </si>
  <si>
    <t>SERIE_LOTE_ITEM_10</t>
  </si>
  <si>
    <t>DESC_DETALLE_ITEM_10</t>
  </si>
  <si>
    <t>SERIE/LOTE</t>
  </si>
  <si>
    <t>DESC_DETALLE</t>
  </si>
  <si>
    <t>0.00</t>
  </si>
  <si>
    <t>ITEM1</t>
  </si>
  <si>
    <t>SERIE_ANTI</t>
  </si>
  <si>
    <t>CORRE_ANTI</t>
  </si>
  <si>
    <t>MONTO_ANTI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</si>
  <si>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</si>
  <si>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</si>
  <si>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</si>
  <si>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</si>
  <si>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</si>
  <si>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</si>
  <si>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</si>
  <si>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</si>
  <si>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</si>
  <si>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</si>
  <si>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</si>
  <si>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</si>
  <si>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</si>
  <si>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</si>
  <si>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</si>
  <si>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</si>
  <si>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</si>
  <si>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</si>
  <si>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</si>
  <si>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</si>
  <si>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</si>
  <si>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</si>
  <si>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</si>
  <si>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</si>
  <si>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</si>
  <si>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FormaPago</t>
  </si>
  <si>
    <t>Contado</t>
  </si>
  <si>
    <t>Andrea Alessandra Vizcardo Gonzales</t>
  </si>
  <si>
    <t xml:space="preserve">Urb. Albino Herrera MZA J lote 20, </t>
  </si>
  <si>
    <t>F901</t>
  </si>
  <si>
    <t>022</t>
  </si>
  <si>
    <t>12</t>
  </si>
  <si>
    <t>99.12</t>
  </si>
  <si>
    <t>762-987234</t>
  </si>
  <si>
    <t>TIPO_DOC (TipoDTE)</t>
  </si>
  <si>
    <t>SERIE (Serie)</t>
  </si>
  <si>
    <t>BXX1</t>
  </si>
  <si>
    <t>CORRELATIVO (Correlativo)</t>
  </si>
  <si>
    <t>FECHA_EMISION (FchEmis)</t>
  </si>
  <si>
    <t>TIPO_OPERACION (TipoOperacion)</t>
  </si>
  <si>
    <t>MONEDA (TipoMoneda)</t>
  </si>
  <si>
    <t>T_DOC_CLIE (TipoRutReceptor)</t>
  </si>
  <si>
    <t>DOC_CLIENTE(RUTRecep)</t>
  </si>
  <si>
    <t>NOMBRE_CLIENTE (RznSocRecep)</t>
  </si>
  <si>
    <t>DIRECCION_CLIENTE (DirRecep)</t>
  </si>
  <si>
    <t>TOT_GRAVADO (MntNeto)</t>
  </si>
  <si>
    <t>TOT_GRATUITO (MntTotGrat)</t>
  </si>
  <si>
    <t>TOTAL (MntTotal)</t>
  </si>
  <si>
    <t>IGV (MontoImpuesto)</t>
  </si>
  <si>
    <t>ITEM (NroLinDet)</t>
  </si>
  <si>
    <t>CANTIDAD (QtyItem)</t>
  </si>
  <si>
    <t>CODIGO (VlrCodigo)</t>
  </si>
  <si>
    <t>NOMBRE (NmbItem)</t>
  </si>
  <si>
    <t>COD_SUNAT (no usa)</t>
  </si>
  <si>
    <t>PRC_ITEM (PrcItem)</t>
  </si>
  <si>
    <t>PRC_SINIGV (PrcItemSinIgv)</t>
  </si>
  <si>
    <t>INDEXE (IndExe)</t>
  </si>
  <si>
    <t>IGV (ImpuestoIgv)</t>
  </si>
  <si>
    <t>MONTO_ITEM (MontoItem)</t>
  </si>
  <si>
    <t>no</t>
  </si>
  <si>
    <t xml:space="preserve">no </t>
  </si>
  <si>
    <t>F</t>
  </si>
  <si>
    <t>Forma Pago (FormaPago)</t>
  </si>
  <si>
    <t>Credito</t>
  </si>
  <si>
    <t>MontoNetoPendPago</t>
  </si>
  <si>
    <t>FORMA PAGO</t>
  </si>
  <si>
    <t>Cuota</t>
  </si>
  <si>
    <t>Monto Cuota</t>
  </si>
  <si>
    <t>Fecha cuota</t>
  </si>
  <si>
    <t>x</t>
  </si>
  <si>
    <t>1|2|3</t>
  </si>
  <si>
    <t>100|20|30</t>
  </si>
  <si>
    <t>05/08/2023|08/05/2023|09/07/2023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</si>
</sst>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rgb="FF008080"/>
      <name val="Duba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30B8D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A9A9A9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166" fontId="10" fillId="0" borderId="0"/>
    <xf numFmtId="0" fontId="12" fillId="0" borderId="0"/>
  </cellStyleXfs>
  <cellXfs count="134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4" fillId="2" borderId="1" xfId="0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7" fillId="6" borderId="0" xfId="0" applyFont="1" applyFill="1" applyAlignment="1">
      <alignment horizontal="left" vertical="center"/>
    </xf>
    <xf numFmtId="0" fontId="7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vertical="top"/>
    </xf>
    <xf numFmtId="43" fontId="8" fillId="0" borderId="0" xfId="1" applyFont="1" applyAlignment="1">
      <alignment vertical="top"/>
    </xf>
    <xf numFmtId="0" fontId="6" fillId="0" borderId="0" xfId="0" applyFont="1" applyAlignment="1">
      <alignment vertical="top"/>
    </xf>
    <xf numFmtId="43" fontId="9" fillId="7" borderId="0" xfId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 readingOrder="1"/>
    </xf>
    <xf numFmtId="49" fontId="4" fillId="2" borderId="2" xfId="0" applyNumberFormat="1" applyFont="1" applyFill="1" applyBorder="1" applyAlignment="1">
      <alignment horizontal="right" vertical="center" readingOrder="1"/>
    </xf>
    <xf numFmtId="0" fontId="4" fillId="2" borderId="2" xfId="0" applyFont="1" applyFill="1" applyBorder="1" applyAlignment="1">
      <alignment horizontal="right" vertical="center" readingOrder="1"/>
    </xf>
    <xf numFmtId="0" fontId="10" fillId="2" borderId="0" xfId="0" applyFont="1" applyFill="1" applyAlignment="1">
      <alignment horizontal="center" vertical="center" readingOrder="1"/>
    </xf>
    <xf numFmtId="49" fontId="4" fillId="2" borderId="0" xfId="0" applyNumberFormat="1" applyFont="1" applyFill="1" applyAlignment="1">
      <alignment horizontal="center" vertical="center" readingOrder="1"/>
    </xf>
    <xf numFmtId="49" fontId="8" fillId="0" borderId="0" xfId="0" applyNumberFormat="1" applyFont="1" applyAlignment="1">
      <alignment horizontal="center" vertical="top"/>
    </xf>
    <xf numFmtId="0" fontId="4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0" fillId="0" borderId="0" xfId="2" applyNumberForma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3" fontId="10" fillId="0" borderId="0" xfId="1" applyFont="1" applyBorder="1" applyAlignment="1">
      <alignment horizontal="center" vertical="center"/>
    </xf>
    <xf numFmtId="43" fontId="12" fillId="0" borderId="0" xfId="1" applyFont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49" fontId="13" fillId="6" borderId="0" xfId="0" applyNumberFormat="1" applyFont="1" applyFill="1" applyAlignment="1">
      <alignment horizontal="center" vertical="center"/>
    </xf>
    <xf numFmtId="43" fontId="13" fillId="6" borderId="0" xfId="1" applyFont="1" applyFill="1" applyAlignment="1">
      <alignment horizontal="center" vertical="center"/>
    </xf>
    <xf numFmtId="0" fontId="17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8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3" xfId="0" applyFont="1" applyBorder="1" applyAlignment="1">
      <alignment vertical="top"/>
    </xf>
    <xf numFmtId="43" fontId="8" fillId="0" borderId="3" xfId="1" applyFont="1" applyBorder="1" applyAlignment="1">
      <alignment vertical="top"/>
    </xf>
    <xf numFmtId="0" fontId="18" fillId="7" borderId="0" xfId="0" applyFont="1" applyFill="1" applyAlignment="1">
      <alignment horizontal="center"/>
    </xf>
    <xf numFmtId="43" fontId="14" fillId="11" borderId="0" xfId="1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vertical="center"/>
    </xf>
    <xf numFmtId="43" fontId="16" fillId="12" borderId="5" xfId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vertical="center"/>
    </xf>
    <xf numFmtId="0" fontId="15" fillId="6" borderId="3" xfId="0" applyFont="1" applyFill="1" applyBorder="1" applyAlignment="1">
      <alignment vertical="center"/>
    </xf>
    <xf numFmtId="49" fontId="16" fillId="13" borderId="4" xfId="0" applyNumberFormat="1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16" fillId="13" borderId="5" xfId="0" applyFont="1" applyFill="1" applyBorder="1" applyAlignment="1">
      <alignment vertical="center"/>
    </xf>
    <xf numFmtId="43" fontId="15" fillId="10" borderId="4" xfId="1" applyFont="1" applyFill="1" applyBorder="1" applyAlignment="1">
      <alignment vertical="center"/>
    </xf>
    <xf numFmtId="43" fontId="15" fillId="10" borderId="3" xfId="1" applyFont="1" applyFill="1" applyBorder="1" applyAlignment="1">
      <alignment vertical="center"/>
    </xf>
    <xf numFmtId="43" fontId="15" fillId="10" borderId="5" xfId="1" applyFont="1" applyFill="1" applyBorder="1" applyAlignment="1">
      <alignment vertical="center"/>
    </xf>
    <xf numFmtId="43" fontId="15" fillId="7" borderId="4" xfId="1" applyFont="1" applyFill="1" applyBorder="1" applyAlignment="1">
      <alignment vertical="center"/>
    </xf>
    <xf numFmtId="43" fontId="15" fillId="7" borderId="3" xfId="1" applyFont="1" applyFill="1" applyBorder="1" applyAlignment="1">
      <alignment vertical="center"/>
    </xf>
    <xf numFmtId="43" fontId="15" fillId="7" borderId="5" xfId="1" applyFont="1" applyFill="1" applyBorder="1" applyAlignment="1">
      <alignment vertical="center"/>
    </xf>
    <xf numFmtId="43" fontId="15" fillId="14" borderId="3" xfId="1" applyFont="1" applyFill="1" applyBorder="1" applyAlignment="1">
      <alignment vertical="center"/>
    </xf>
    <xf numFmtId="43" fontId="15" fillId="14" borderId="5" xfId="1" applyFont="1" applyFill="1" applyBorder="1" applyAlignment="1">
      <alignment vertical="center"/>
    </xf>
    <xf numFmtId="43" fontId="15" fillId="15" borderId="4" xfId="1" applyFont="1" applyFill="1" applyBorder="1" applyAlignment="1">
      <alignment vertical="center"/>
    </xf>
    <xf numFmtId="43" fontId="15" fillId="15" borderId="3" xfId="1" applyFont="1" applyFill="1" applyBorder="1" applyAlignment="1">
      <alignment vertical="center"/>
    </xf>
    <xf numFmtId="43" fontId="15" fillId="15" borderId="5" xfId="1" applyFont="1" applyFill="1" applyBorder="1" applyAlignment="1">
      <alignment vertical="center"/>
    </xf>
    <xf numFmtId="43" fontId="20" fillId="16" borderId="4" xfId="1" applyFont="1" applyFill="1" applyBorder="1" applyAlignment="1">
      <alignment vertical="center"/>
    </xf>
    <xf numFmtId="43" fontId="20" fillId="16" borderId="5" xfId="1" applyFont="1" applyFill="1" applyBorder="1" applyAlignment="1">
      <alignment vertical="center"/>
    </xf>
    <xf numFmtId="43" fontId="15" fillId="10" borderId="9" xfId="1" applyFont="1" applyFill="1" applyBorder="1" applyAlignment="1">
      <alignment vertical="center"/>
    </xf>
    <xf numFmtId="43" fontId="16" fillId="12" borderId="4" xfId="1" applyFont="1" applyFill="1" applyBorder="1" applyAlignment="1">
      <alignment vertical="center"/>
    </xf>
    <xf numFmtId="43" fontId="16" fillId="12" borderId="5" xfId="1" applyFont="1" applyFill="1" applyBorder="1" applyAlignment="1">
      <alignment vertical="center"/>
    </xf>
    <xf numFmtId="43" fontId="15" fillId="10" borderId="10" xfId="1" applyFont="1" applyFill="1" applyBorder="1" applyAlignment="1">
      <alignment vertical="center"/>
    </xf>
    <xf numFmtId="43" fontId="16" fillId="12" borderId="3" xfId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4" borderId="3" xfId="1" applyNumberFormat="1" applyFont="1" applyFill="1" applyBorder="1" applyAlignment="1">
      <alignment horizontal="left" vertical="center"/>
    </xf>
    <xf numFmtId="0" fontId="16" fillId="17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5" fillId="7" borderId="0" xfId="1" applyNumberFormat="1" applyFont="1" applyFill="1" applyBorder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6" fillId="12" borderId="0" xfId="1" applyNumberFormat="1" applyFont="1" applyFill="1" applyBorder="1" applyAlignment="1">
      <alignment horizontal="left" vertical="center"/>
    </xf>
    <xf numFmtId="0" fontId="15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43" fontId="0" fillId="0" borderId="0" xfId="0" applyNumberFormat="1"/>
    <xf numFmtId="43" fontId="0" fillId="0" borderId="0" xfId="0" quotePrefix="1" applyNumberFormat="1"/>
    <xf numFmtId="43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 vertical="center"/>
    </xf>
    <xf numFmtId="49" fontId="0" fillId="18" borderId="0" xfId="0" applyNumberFormat="1" applyFill="1" applyAlignment="1">
      <alignment horizontal="left" vertical="center"/>
    </xf>
    <xf numFmtId="43" fontId="0" fillId="18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0" fillId="0" borderId="0" xfId="0" quotePrefix="1" applyFont="1" applyAlignment="1">
      <alignment horizontal="center" vertical="center"/>
    </xf>
    <xf numFmtId="164" fontId="13" fillId="0" borderId="3" xfId="0" quotePrefix="1" applyNumberFormat="1" applyFont="1" applyBorder="1" applyAlignment="1">
      <alignment horizontal="center" vertical="top"/>
    </xf>
    <xf numFmtId="0" fontId="15" fillId="10" borderId="3" xfId="1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vertical="top"/>
    </xf>
    <xf numFmtId="43" fontId="15" fillId="15" borderId="3" xfId="1" applyFont="1" applyFill="1" applyBorder="1" applyAlignment="1">
      <alignment horizontal="center" vertical="center"/>
    </xf>
    <xf numFmtId="43" fontId="15" fillId="10" borderId="3" xfId="1" applyFont="1" applyFill="1" applyBorder="1" applyAlignment="1">
      <alignment horizontal="center"/>
    </xf>
    <xf numFmtId="43" fontId="15" fillId="10" borderId="9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8" borderId="0" xfId="1" quotePrefix="1" applyNumberFormat="1" applyFont="1" applyFill="1"/>
    <xf numFmtId="0" fontId="0" fillId="18" borderId="0" xfId="0" applyFill="1"/>
    <xf numFmtId="169" fontId="10" fillId="0" borderId="0" xfId="2" applyNumberFormat="1" applyAlignment="1">
      <alignment horizontal="center" vertical="center"/>
    </xf>
    <xf numFmtId="169" fontId="8" fillId="0" borderId="3" xfId="0" applyNumberFormat="1" applyFont="1" applyBorder="1" applyAlignment="1">
      <alignment vertical="top"/>
    </xf>
    <xf numFmtId="0" fontId="12" fillId="0" borderId="0" xfId="3"/>
    <xf numFmtId="49" fontId="10" fillId="0" borderId="0" xfId="1" applyNumberFormat="1" applyFont="1" applyBorder="1" applyAlignment="1">
      <alignment horizontal="center" vertical="center"/>
    </xf>
    <xf numFmtId="49" fontId="0" fillId="0" borderId="3" xfId="0" applyNumberFormat="1" applyBorder="1"/>
    <xf numFmtId="168" fontId="8" fillId="0" borderId="3" xfId="0" applyNumberFormat="1" applyFont="1" applyBorder="1" applyAlignment="1">
      <alignment vertical="top"/>
    </xf>
    <xf numFmtId="165" fontId="8" fillId="0" borderId="3" xfId="1" applyNumberFormat="1" applyFont="1" applyBorder="1" applyAlignment="1">
      <alignment vertical="top"/>
    </xf>
    <xf numFmtId="49" fontId="16" fillId="13" borderId="11" xfId="0" applyNumberFormat="1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6" fillId="0" borderId="16" xfId="0" applyFont="1" applyBorder="1" applyAlignment="1">
      <alignment vertical="top"/>
    </xf>
    <xf numFmtId="49" fontId="8" fillId="0" borderId="16" xfId="0" applyNumberFormat="1" applyFont="1" applyBorder="1" applyAlignment="1">
      <alignment vertical="top"/>
    </xf>
    <xf numFmtId="49" fontId="8" fillId="0" borderId="17" xfId="0" applyNumberFormat="1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0" fillId="0" borderId="0" xfId="0" applyBorder="1"/>
    <xf numFmtId="49" fontId="3" fillId="4" borderId="18" xfId="0" applyNumberFormat="1" applyFont="1" applyFill="1" applyBorder="1" applyAlignment="1">
      <alignment horizontal="center" vertical="center"/>
    </xf>
    <xf numFmtId="43" fontId="15" fillId="10" borderId="10" xfId="1" applyFont="1" applyFill="1" applyBorder="1" applyAlignment="1">
      <alignment horizontal="center"/>
    </xf>
    <xf numFmtId="164" fontId="8" fillId="0" borderId="3" xfId="0" applyNumberFormat="1" applyFont="1" applyBorder="1" applyAlignment="1">
      <alignment vertical="top"/>
    </xf>
    <xf numFmtId="43" fontId="13" fillId="19" borderId="0" xfId="1" applyFont="1" applyFill="1" applyAlignment="1">
      <alignment vertical="top"/>
    </xf>
    <xf numFmtId="43" fontId="16" fillId="20" borderId="6" xfId="1" applyFont="1" applyFill="1" applyBorder="1" applyAlignment="1">
      <alignment vertical="center"/>
    </xf>
    <xf numFmtId="43" fontId="16" fillId="20" borderId="7" xfId="1" applyFont="1" applyFill="1" applyBorder="1" applyAlignment="1">
      <alignment vertical="center"/>
    </xf>
    <xf numFmtId="43" fontId="16" fillId="20" borderId="8" xfId="1" applyFont="1" applyFill="1" applyBorder="1" applyAlignment="1">
      <alignment vertical="center"/>
    </xf>
    <xf numFmtId="43" fontId="16" fillId="20" borderId="4" xfId="1" applyFont="1" applyFill="1" applyBorder="1" applyAlignment="1">
      <alignment vertical="center"/>
    </xf>
    <xf numFmtId="0" fontId="16" fillId="13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</cellXfs>
  <cellStyles count="4">
    <cellStyle name="Excel Built-in Normal" xfId="2" xr:uid="{00000000-0005-0000-0000-000000000000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colors>
    <mruColors>
      <color rgb="FFA30B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133350</xdr:rowOff>
        </xdr:from>
        <xdr:to>
          <xdr:col>1</xdr:col>
          <xdr:colOff>495300</xdr:colOff>
          <xdr:row>25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25</xdr:row>
          <xdr:rowOff>123825</xdr:rowOff>
        </xdr:from>
        <xdr:to>
          <xdr:col>6</xdr:col>
          <xdr:colOff>152400</xdr:colOff>
          <xdr:row>25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06"/>
  <sheetViews>
    <sheetView showGridLines="0" topLeftCell="B1" zoomScale="85" zoomScaleNormal="85" workbookViewId="0">
      <selection activeCell="G13" sqref="G13"/>
    </sheetView>
  </sheetViews>
  <sheetFormatPr baseColWidth="10" defaultColWidth="11.42578125" defaultRowHeight="15" x14ac:dyDescent="0.25"/>
  <cols>
    <col min="1" max="1" width="16.7109375" bestFit="1" customWidth="1"/>
    <col min="2" max="2" width="16.5703125" customWidth="1"/>
    <col min="3" max="3" width="19.5703125" bestFit="1" customWidth="1"/>
    <col min="4" max="4" width="21.28515625" customWidth="1"/>
    <col min="5" max="5" width="20.140625" customWidth="1"/>
    <col min="6" max="6" width="17.42578125" customWidth="1"/>
    <col min="7" max="7" width="25.140625" customWidth="1"/>
    <col min="8" max="8" width="12.140625" customWidth="1"/>
    <col min="9" max="9" width="12.42578125" customWidth="1"/>
    <col min="10" max="10" width="22.28515625" customWidth="1"/>
    <col min="11" max="12" width="11.42578125" customWidth="1"/>
    <col min="13" max="13" width="14.42578125" bestFit="1" customWidth="1"/>
    <col min="14" max="14" width="11.42578125" customWidth="1"/>
    <col min="15" max="15" width="20.7109375" customWidth="1"/>
    <col min="16" max="16" width="4.140625" customWidth="1"/>
    <col min="17" max="17" width="5.140625" customWidth="1"/>
  </cols>
  <sheetData>
    <row r="1" spans="1:14" x14ac:dyDescent="0.25">
      <c r="C1" s="7">
        <v>1</v>
      </c>
      <c r="D1" s="7">
        <v>1</v>
      </c>
    </row>
    <row r="2" spans="1:14" x14ac:dyDescent="0.25">
      <c r="A2" s="56" t="s">
        <v>400</v>
      </c>
      <c r="B2" s="56" t="s">
        <v>401</v>
      </c>
      <c r="C2" s="56" t="s">
        <v>403</v>
      </c>
      <c r="D2" s="56" t="s">
        <v>404</v>
      </c>
      <c r="E2" s="80" t="s">
        <v>405</v>
      </c>
      <c r="F2" s="97" t="s">
        <v>406</v>
      </c>
      <c r="G2" s="85" t="s">
        <v>412</v>
      </c>
      <c r="H2" s="46"/>
      <c r="J2" s="83" t="s">
        <v>312</v>
      </c>
      <c r="K2" s="46"/>
    </row>
    <row r="3" spans="1:14" x14ac:dyDescent="0.25">
      <c r="A3" s="112">
        <v>3</v>
      </c>
      <c r="B3" s="47" t="s">
        <v>402</v>
      </c>
      <c r="C3" s="47" t="s">
        <v>65</v>
      </c>
      <c r="D3" s="108">
        <v>43958</v>
      </c>
      <c r="E3" s="113">
        <v>101</v>
      </c>
      <c r="F3" s="50" t="s">
        <v>55</v>
      </c>
      <c r="G3" s="85" t="s">
        <v>411</v>
      </c>
      <c r="H3" s="46">
        <v>200</v>
      </c>
      <c r="J3" s="83"/>
      <c r="K3" s="46"/>
    </row>
    <row r="4" spans="1:14" ht="15.75" thickBot="1" x14ac:dyDescent="0.3">
      <c r="A4" s="21"/>
      <c r="B4" s="22"/>
      <c r="C4" s="22"/>
      <c r="D4" s="22"/>
      <c r="E4" s="11"/>
      <c r="F4" s="11"/>
      <c r="G4" s="85" t="s">
        <v>277</v>
      </c>
      <c r="H4" s="50"/>
      <c r="J4" s="83" t="s">
        <v>314</v>
      </c>
      <c r="K4" s="50"/>
    </row>
    <row r="5" spans="1:14" x14ac:dyDescent="0.25">
      <c r="A5" s="114" t="s">
        <v>407</v>
      </c>
      <c r="B5" s="115" t="s">
        <v>408</v>
      </c>
      <c r="C5" s="115" t="s">
        <v>409</v>
      </c>
      <c r="D5" s="131" t="s">
        <v>410</v>
      </c>
      <c r="E5" s="132"/>
      <c r="F5" s="133"/>
      <c r="G5" s="85" t="s">
        <v>414</v>
      </c>
      <c r="H5" s="50">
        <v>36</v>
      </c>
      <c r="I5" s="23"/>
    </row>
    <row r="6" spans="1:14" ht="15.75" thickBot="1" x14ac:dyDescent="0.3">
      <c r="A6" s="116"/>
      <c r="B6" s="117"/>
      <c r="C6" s="118"/>
      <c r="D6" s="119"/>
      <c r="E6" s="119"/>
      <c r="F6" s="120"/>
      <c r="G6" s="85" t="s">
        <v>413</v>
      </c>
      <c r="H6" s="50">
        <v>236</v>
      </c>
      <c r="I6" s="23"/>
      <c r="J6" s="82" t="s">
        <v>278</v>
      </c>
      <c r="K6" s="111"/>
    </row>
    <row r="7" spans="1:14" x14ac:dyDescent="0.25">
      <c r="A7" s="11"/>
      <c r="B7" s="11"/>
      <c r="C7" s="24"/>
      <c r="D7" s="22"/>
      <c r="E7" s="11"/>
      <c r="G7" s="23"/>
      <c r="H7" s="23"/>
      <c r="I7" s="23"/>
      <c r="J7" s="82" t="s">
        <v>279</v>
      </c>
      <c r="K7" s="46"/>
    </row>
    <row r="8" spans="1:14" x14ac:dyDescent="0.25">
      <c r="A8" s="79" t="s">
        <v>291</v>
      </c>
      <c r="B8" s="79" t="s">
        <v>292</v>
      </c>
      <c r="C8" s="79" t="s">
        <v>282</v>
      </c>
      <c r="D8" s="79" t="s">
        <v>283</v>
      </c>
      <c r="E8" s="79" t="s">
        <v>284</v>
      </c>
      <c r="G8" s="84" t="s">
        <v>315</v>
      </c>
      <c r="H8" s="50"/>
      <c r="I8" s="23"/>
      <c r="J8" s="82" t="s">
        <v>280</v>
      </c>
      <c r="K8" s="46"/>
    </row>
    <row r="9" spans="1:14" x14ac:dyDescent="0.25">
      <c r="A9" s="78"/>
      <c r="B9" s="78"/>
      <c r="C9" s="78"/>
      <c r="D9" s="78"/>
      <c r="E9" s="78"/>
      <c r="G9" s="84" t="s">
        <v>316</v>
      </c>
      <c r="H9" s="50"/>
      <c r="I9" s="23"/>
      <c r="J9" s="82" t="s">
        <v>281</v>
      </c>
      <c r="K9" s="46"/>
    </row>
    <row r="10" spans="1:14" x14ac:dyDescent="0.25">
      <c r="A10" s="81"/>
      <c r="B10" s="81"/>
      <c r="C10" s="81"/>
      <c r="D10" s="81"/>
      <c r="E10" s="81"/>
      <c r="G10" s="84" t="s">
        <v>317</v>
      </c>
      <c r="H10" s="50"/>
      <c r="I10" s="23"/>
    </row>
    <row r="11" spans="1:14" x14ac:dyDescent="0.25">
      <c r="A11" s="99" t="s">
        <v>287</v>
      </c>
      <c r="B11" s="99" t="s">
        <v>363</v>
      </c>
      <c r="C11" s="99" t="s">
        <v>364</v>
      </c>
      <c r="D11" s="99" t="s">
        <v>365</v>
      </c>
      <c r="E11" s="81" t="s">
        <v>427</v>
      </c>
      <c r="G11" s="84" t="s">
        <v>318</v>
      </c>
      <c r="H11" s="50"/>
      <c r="I11" s="23"/>
      <c r="J11" s="52" t="s">
        <v>164</v>
      </c>
      <c r="K11" s="50"/>
    </row>
    <row r="12" spans="1:14" x14ac:dyDescent="0.25">
      <c r="A12" s="98"/>
      <c r="B12" s="98"/>
      <c r="C12" s="98"/>
      <c r="D12" s="98"/>
      <c r="E12" s="81"/>
      <c r="G12" s="126" t="s">
        <v>428</v>
      </c>
      <c r="H12" s="50" t="s">
        <v>429</v>
      </c>
      <c r="I12" s="23"/>
      <c r="J12" s="52" t="s">
        <v>165</v>
      </c>
      <c r="K12" s="46"/>
    </row>
    <row r="13" spans="1:14" x14ac:dyDescent="0.25">
      <c r="A13" s="121"/>
      <c r="B13" s="121"/>
      <c r="C13" s="121"/>
      <c r="D13" s="121"/>
      <c r="E13" s="81"/>
      <c r="G13" s="126" t="s">
        <v>430</v>
      </c>
      <c r="H13" s="50">
        <v>100</v>
      </c>
      <c r="I13" s="23"/>
      <c r="J13" s="52"/>
      <c r="K13" s="122"/>
    </row>
    <row r="14" spans="1:14" ht="15.75" thickBot="1" x14ac:dyDescent="0.3">
      <c r="A14" s="125"/>
      <c r="B14" s="47"/>
      <c r="C14" s="47"/>
      <c r="D14" s="22"/>
      <c r="E14" s="11"/>
      <c r="F14" s="24"/>
      <c r="G14" s="23"/>
      <c r="H14" s="23"/>
      <c r="I14" s="23"/>
    </row>
    <row r="15" spans="1:14" ht="15.75" thickBot="1" x14ac:dyDescent="0.3">
      <c r="A15" s="123" t="s">
        <v>415</v>
      </c>
      <c r="B15" s="124" t="s">
        <v>416</v>
      </c>
      <c r="C15" s="124" t="s">
        <v>417</v>
      </c>
      <c r="D15" s="100" t="s">
        <v>418</v>
      </c>
      <c r="E15" s="100" t="s">
        <v>419</v>
      </c>
      <c r="F15" s="100" t="s">
        <v>420</v>
      </c>
      <c r="G15" s="100" t="s">
        <v>421</v>
      </c>
      <c r="H15" s="100" t="s">
        <v>422</v>
      </c>
      <c r="I15" s="100" t="s">
        <v>423</v>
      </c>
      <c r="J15" s="100" t="s">
        <v>424</v>
      </c>
      <c r="K15" s="100" t="s">
        <v>366</v>
      </c>
      <c r="L15" s="101" t="s">
        <v>186</v>
      </c>
      <c r="M15" s="74" t="s">
        <v>359</v>
      </c>
      <c r="N15" s="54" t="s">
        <v>360</v>
      </c>
    </row>
    <row r="16" spans="1:14" x14ac:dyDescent="0.25">
      <c r="A16" s="96" t="s">
        <v>166</v>
      </c>
      <c r="B16" s="47"/>
      <c r="C16" s="47"/>
      <c r="D16" s="47"/>
      <c r="E16" s="48"/>
      <c r="F16" s="49"/>
      <c r="G16" s="50"/>
      <c r="H16" s="50">
        <v>10</v>
      </c>
      <c r="I16" s="47"/>
      <c r="J16" s="47"/>
      <c r="K16" s="47" t="s">
        <v>425</v>
      </c>
      <c r="L16" s="48" t="s">
        <v>425</v>
      </c>
      <c r="M16" s="49" t="s">
        <v>426</v>
      </c>
      <c r="N16" s="50" t="s">
        <v>425</v>
      </c>
    </row>
    <row r="17" spans="1:14" x14ac:dyDescent="0.25">
      <c r="A17" s="96" t="s">
        <v>167</v>
      </c>
      <c r="B17" s="47"/>
      <c r="C17" s="47"/>
      <c r="D17" s="47"/>
      <c r="E17" s="48"/>
      <c r="F17" s="49"/>
      <c r="G17" s="50"/>
      <c r="H17" s="50"/>
      <c r="I17" s="47"/>
      <c r="J17" s="47"/>
      <c r="K17" s="47"/>
      <c r="L17" s="48"/>
      <c r="M17" s="49"/>
      <c r="N17" s="50"/>
    </row>
    <row r="18" spans="1:14" x14ac:dyDescent="0.25">
      <c r="A18" s="96" t="s">
        <v>168</v>
      </c>
      <c r="B18" s="47"/>
      <c r="C18" s="47"/>
      <c r="D18" s="47"/>
      <c r="E18" s="48"/>
      <c r="F18" s="49"/>
      <c r="G18" s="50"/>
      <c r="H18" s="50"/>
      <c r="I18" s="47"/>
      <c r="J18" s="47"/>
      <c r="K18" s="47"/>
      <c r="L18" s="48"/>
      <c r="M18" s="49"/>
      <c r="N18" s="50"/>
    </row>
    <row r="19" spans="1:14" x14ac:dyDescent="0.25">
      <c r="A19" s="96" t="s">
        <v>169</v>
      </c>
      <c r="B19" s="47"/>
      <c r="C19" s="47"/>
      <c r="D19" s="47"/>
      <c r="E19" s="48"/>
      <c r="F19" s="49"/>
      <c r="G19" s="50"/>
      <c r="H19" s="50"/>
      <c r="I19" s="47"/>
      <c r="J19" s="47"/>
      <c r="K19" s="47"/>
      <c r="L19" s="48"/>
      <c r="M19" s="49"/>
      <c r="N19" s="50"/>
    </row>
    <row r="20" spans="1:14" x14ac:dyDescent="0.25">
      <c r="A20" s="96" t="s">
        <v>170</v>
      </c>
      <c r="B20" s="47"/>
      <c r="C20" s="47"/>
      <c r="D20" s="47"/>
      <c r="E20" s="48"/>
      <c r="F20" s="49"/>
      <c r="G20" s="50"/>
      <c r="H20" s="50"/>
      <c r="I20" s="47"/>
      <c r="J20" s="47"/>
      <c r="K20" s="47"/>
      <c r="L20" s="48"/>
      <c r="M20" s="49"/>
      <c r="N20" s="50"/>
    </row>
    <row r="21" spans="1:14" x14ac:dyDescent="0.25">
      <c r="A21" s="96" t="s">
        <v>171</v>
      </c>
      <c r="B21" s="47"/>
      <c r="C21" s="47"/>
      <c r="D21" s="47"/>
      <c r="E21" s="48"/>
      <c r="F21" s="49"/>
      <c r="G21" s="50"/>
      <c r="H21" s="50"/>
      <c r="I21" s="47"/>
      <c r="J21" s="47"/>
      <c r="K21" s="47"/>
      <c r="L21" s="48"/>
      <c r="M21" s="49"/>
      <c r="N21" s="50"/>
    </row>
    <row r="22" spans="1:14" x14ac:dyDescent="0.25">
      <c r="A22" s="96" t="s">
        <v>172</v>
      </c>
      <c r="B22" s="47"/>
      <c r="C22" s="47"/>
      <c r="D22" s="47"/>
      <c r="E22" s="48"/>
      <c r="F22" s="49"/>
      <c r="G22" s="50"/>
      <c r="H22" s="50"/>
      <c r="I22" s="47"/>
      <c r="J22" s="47"/>
      <c r="K22" s="47"/>
      <c r="L22" s="48"/>
      <c r="M22" s="49"/>
      <c r="N22" s="50"/>
    </row>
    <row r="23" spans="1:14" x14ac:dyDescent="0.25">
      <c r="A23" s="96" t="s">
        <v>173</v>
      </c>
      <c r="B23" s="47"/>
      <c r="C23" s="47"/>
      <c r="D23" s="47"/>
      <c r="E23" s="48"/>
      <c r="F23" s="49"/>
      <c r="G23" s="50"/>
      <c r="H23" s="50"/>
      <c r="I23" s="47"/>
      <c r="J23" s="47"/>
      <c r="K23" s="47"/>
      <c r="L23" s="48"/>
      <c r="M23" s="49"/>
      <c r="N23" s="50"/>
    </row>
    <row r="24" spans="1:14" x14ac:dyDescent="0.25">
      <c r="A24" s="96" t="s">
        <v>174</v>
      </c>
      <c r="B24" s="47"/>
      <c r="C24" s="47"/>
      <c r="D24" s="47"/>
      <c r="E24" s="48"/>
      <c r="F24" s="49"/>
      <c r="G24" s="50"/>
      <c r="H24" s="50"/>
      <c r="I24" s="47"/>
      <c r="J24" s="47"/>
      <c r="K24" s="47"/>
      <c r="L24" s="48"/>
      <c r="M24" s="49"/>
      <c r="N24" s="50"/>
    </row>
    <row r="25" spans="1:14" x14ac:dyDescent="0.25">
      <c r="A25" s="96" t="s">
        <v>175</v>
      </c>
      <c r="B25" s="47"/>
      <c r="C25" s="47"/>
      <c r="D25" s="47"/>
      <c r="E25" s="48"/>
      <c r="F25" s="49"/>
      <c r="G25" s="50"/>
      <c r="H25" s="50"/>
      <c r="I25" s="47"/>
      <c r="J25" s="47"/>
      <c r="K25" s="47"/>
      <c r="L25" s="48"/>
      <c r="M25" s="49"/>
      <c r="N25" s="50"/>
    </row>
    <row r="26" spans="1:14" ht="59.25" customHeight="1" x14ac:dyDescent="0.25"/>
    <row r="27" spans="1:14" x14ac:dyDescent="0.25">
      <c r="A27" s="5" t="s">
        <v>2</v>
      </c>
      <c r="B27" s="5" t="s">
        <v>3</v>
      </c>
      <c r="C27" s="5" t="s">
        <v>4</v>
      </c>
      <c r="D27" s="5" t="s">
        <v>5</v>
      </c>
      <c r="E27" s="6" t="s">
        <v>52</v>
      </c>
    </row>
    <row r="28" spans="1:14" x14ac:dyDescent="0.25">
      <c r="A28" t="s">
        <v>6</v>
      </c>
      <c r="B28" t="s">
        <v>7</v>
      </c>
      <c r="C28" t="s">
        <v>8</v>
      </c>
      <c r="E28" s="1">
        <v>1</v>
      </c>
      <c r="F28" s="17"/>
      <c r="G28" s="106" t="str">
        <f>IF($A28="go",CONCATENATE($B28,";",$C28,";",$D28,";",$E28),"")</f>
        <v>A;CODI_EMPR;;1</v>
      </c>
      <c r="I28" s="15"/>
      <c r="J28" s="16" t="s">
        <v>67</v>
      </c>
    </row>
    <row r="29" spans="1:14" x14ac:dyDescent="0.25">
      <c r="A29" t="s">
        <v>6</v>
      </c>
      <c r="B29" t="s">
        <v>7</v>
      </c>
      <c r="C29" t="s">
        <v>9</v>
      </c>
      <c r="E29" s="19" t="str">
        <f>CONCATENATE(REPT(0,4-LEN($B$3)),$B$3)</f>
        <v>BXX1</v>
      </c>
      <c r="F29" s="13"/>
      <c r="G29" s="106" t="str">
        <f t="shared" ref="G29:G92" si="0">IF($A29="go",CONCATENATE($B29,";",$C29,";",$D29,";",$E29),"")</f>
        <v>A;Serie;;BXX1</v>
      </c>
      <c r="I29" s="13"/>
      <c r="J29" s="16" t="s">
        <v>68</v>
      </c>
    </row>
    <row r="30" spans="1:14" x14ac:dyDescent="0.25">
      <c r="A30" t="s">
        <v>6</v>
      </c>
      <c r="B30" t="s">
        <v>7</v>
      </c>
      <c r="C30" t="s">
        <v>10</v>
      </c>
      <c r="E30" s="12" t="str">
        <f>CONCATENATE(REPT(0,8-LEN($C$3)),$C$3)</f>
        <v>00000001</v>
      </c>
      <c r="F30" s="13"/>
      <c r="G30" s="106" t="str">
        <f t="shared" si="0"/>
        <v>A;Correlativo;;00000001</v>
      </c>
      <c r="I30" s="17"/>
      <c r="J30" s="16" t="s">
        <v>66</v>
      </c>
    </row>
    <row r="31" spans="1:14" x14ac:dyDescent="0.25">
      <c r="A31" t="s">
        <v>6</v>
      </c>
      <c r="B31" t="s">
        <v>7</v>
      </c>
      <c r="C31" t="s">
        <v>11</v>
      </c>
      <c r="E31" s="3" t="s">
        <v>367</v>
      </c>
      <c r="F31" s="17"/>
      <c r="G31" s="106" t="str">
        <f t="shared" si="0"/>
        <v>A;RznSocEmis;;SUMUP PERÚ SRL</v>
      </c>
    </row>
    <row r="32" spans="1:14" x14ac:dyDescent="0.25">
      <c r="A32" t="s">
        <v>6</v>
      </c>
      <c r="B32" t="s">
        <v>7</v>
      </c>
      <c r="C32" t="s">
        <v>12</v>
      </c>
      <c r="E32" s="12">
        <v>20602435572</v>
      </c>
      <c r="F32" s="17"/>
      <c r="G32" s="106" t="str">
        <f t="shared" si="0"/>
        <v>A;RUTEmis;;20602435572</v>
      </c>
    </row>
    <row r="33" spans="1:7" x14ac:dyDescent="0.25">
      <c r="A33" t="s">
        <v>6</v>
      </c>
      <c r="B33" t="s">
        <v>7</v>
      </c>
      <c r="C33" t="s">
        <v>13</v>
      </c>
      <c r="E33" s="3">
        <v>6</v>
      </c>
      <c r="F33" s="17"/>
      <c r="G33" s="106" t="str">
        <f t="shared" si="0"/>
        <v>A;TipoRucEmis;;6</v>
      </c>
    </row>
    <row r="34" spans="1:7" x14ac:dyDescent="0.25">
      <c r="A34" t="s">
        <v>6</v>
      </c>
      <c r="B34" t="s">
        <v>7</v>
      </c>
      <c r="C34" t="s">
        <v>14</v>
      </c>
      <c r="E34" s="3" t="s">
        <v>367</v>
      </c>
      <c r="F34" s="17"/>
      <c r="G34" s="106" t="str">
        <f t="shared" si="0"/>
        <v>A;NomComer;;SUMUP PERÚ SRL</v>
      </c>
    </row>
    <row r="35" spans="1:7" x14ac:dyDescent="0.25">
      <c r="A35" t="s">
        <v>6</v>
      </c>
      <c r="B35" t="s">
        <v>7</v>
      </c>
      <c r="C35" t="s">
        <v>15</v>
      </c>
      <c r="E35" s="3" t="s">
        <v>368</v>
      </c>
      <c r="F35" s="17"/>
      <c r="G35" s="106" t="str">
        <f t="shared" si="0"/>
        <v>A;DirEmis;;Av. José Larco 1232, Lima 15074, Peru</v>
      </c>
    </row>
    <row r="36" spans="1:7" x14ac:dyDescent="0.25">
      <c r="A36" t="s">
        <v>6</v>
      </c>
      <c r="B36" t="s">
        <v>7</v>
      </c>
      <c r="C36" t="s">
        <v>16</v>
      </c>
      <c r="E36" s="4" t="s">
        <v>17</v>
      </c>
      <c r="F36" s="17"/>
      <c r="G36" s="106" t="str">
        <f t="shared" si="0"/>
        <v>A;CodigoLocalAnexo;;0000</v>
      </c>
    </row>
    <row r="37" spans="1:7" x14ac:dyDescent="0.25">
      <c r="A37" t="str">
        <f>IF($E$46&gt;0,"null","go")</f>
        <v>go</v>
      </c>
      <c r="B37" t="s">
        <v>7</v>
      </c>
      <c r="C37" t="s">
        <v>391</v>
      </c>
      <c r="E37" s="3" t="s">
        <v>392</v>
      </c>
      <c r="F37" s="17"/>
      <c r="G37" s="106" t="str">
        <f t="shared" si="0"/>
        <v>A;FormaPago;;Contado</v>
      </c>
    </row>
    <row r="38" spans="1:7" x14ac:dyDescent="0.25">
      <c r="A38" t="s">
        <v>6</v>
      </c>
      <c r="B38" t="s">
        <v>7</v>
      </c>
      <c r="C38" t="s">
        <v>18</v>
      </c>
      <c r="E38" s="86" t="str">
        <f>TEXT($A$3,"00")</f>
        <v>03</v>
      </c>
      <c r="F38" s="13"/>
      <c r="G38" s="106" t="str">
        <f t="shared" si="0"/>
        <v>A;TipoDTE;;03</v>
      </c>
    </row>
    <row r="39" spans="1:7" x14ac:dyDescent="0.25">
      <c r="A39" t="s">
        <v>6</v>
      </c>
      <c r="B39" t="s">
        <v>7</v>
      </c>
      <c r="C39" t="s">
        <v>19</v>
      </c>
      <c r="E39" s="90">
        <f>$A$6</f>
        <v>0</v>
      </c>
      <c r="G39" s="106" t="str">
        <f t="shared" si="0"/>
        <v>A;TipoRutReceptor;;0</v>
      </c>
    </row>
    <row r="40" spans="1:7" x14ac:dyDescent="0.25">
      <c r="A40" t="s">
        <v>6</v>
      </c>
      <c r="B40" t="s">
        <v>7</v>
      </c>
      <c r="C40" t="s">
        <v>20</v>
      </c>
      <c r="E40" s="90">
        <f>$B$6</f>
        <v>0</v>
      </c>
      <c r="G40" s="106" t="str">
        <f t="shared" si="0"/>
        <v>A;RUTRecep;;0</v>
      </c>
    </row>
    <row r="41" spans="1:7" x14ac:dyDescent="0.25">
      <c r="A41" t="s">
        <v>6</v>
      </c>
      <c r="B41" t="s">
        <v>7</v>
      </c>
      <c r="C41" t="s">
        <v>21</v>
      </c>
      <c r="E41" s="90">
        <f>$C$6</f>
        <v>0</v>
      </c>
      <c r="G41" s="106" t="str">
        <f t="shared" si="0"/>
        <v>A;RznSocRecep;;0</v>
      </c>
    </row>
    <row r="42" spans="1:7" x14ac:dyDescent="0.25">
      <c r="A42" t="s">
        <v>6</v>
      </c>
      <c r="B42" t="s">
        <v>7</v>
      </c>
      <c r="C42" t="s">
        <v>22</v>
      </c>
      <c r="E42" s="91">
        <f>$D$6</f>
        <v>0</v>
      </c>
      <c r="G42" s="106" t="str">
        <f t="shared" si="0"/>
        <v>A;DirRecep;;0</v>
      </c>
    </row>
    <row r="43" spans="1:7" x14ac:dyDescent="0.25">
      <c r="A43" t="s">
        <v>6</v>
      </c>
      <c r="B43" t="s">
        <v>7</v>
      </c>
      <c r="C43" t="s">
        <v>23</v>
      </c>
      <c r="E43" s="87" t="str">
        <f>$F$3</f>
        <v>PEN</v>
      </c>
      <c r="F43" s="17"/>
      <c r="G43" s="106" t="str">
        <f t="shared" si="0"/>
        <v>A;TipoMoneda;;PEN</v>
      </c>
    </row>
    <row r="44" spans="1:7" x14ac:dyDescent="0.25">
      <c r="A44" t="str">
        <f>IF($E$46&gt;0,"null","go")</f>
        <v>go</v>
      </c>
      <c r="B44" t="s">
        <v>7</v>
      </c>
      <c r="C44" t="s">
        <v>24</v>
      </c>
      <c r="E44" s="88">
        <f>$E$3</f>
        <v>101</v>
      </c>
      <c r="F44" s="17"/>
      <c r="G44" s="106" t="str">
        <f t="shared" si="0"/>
        <v>A;TipoOperacion;;101</v>
      </c>
    </row>
    <row r="45" spans="1:7" x14ac:dyDescent="0.25">
      <c r="A45" t="str">
        <f>$A$46</f>
        <v>null</v>
      </c>
      <c r="B45" t="s">
        <v>7</v>
      </c>
      <c r="C45" t="s">
        <v>375</v>
      </c>
      <c r="E45">
        <f>$B$9</f>
        <v>0</v>
      </c>
      <c r="G45" s="106" t="str">
        <f t="shared" si="0"/>
        <v/>
      </c>
    </row>
    <row r="46" spans="1:7" x14ac:dyDescent="0.25">
      <c r="A46" t="str">
        <f>IF($E$46&gt;0,"go","null")</f>
        <v>null</v>
      </c>
      <c r="B46" t="s">
        <v>7</v>
      </c>
      <c r="C46" t="s">
        <v>376</v>
      </c>
      <c r="E46" s="92">
        <f>$A$9</f>
        <v>0</v>
      </c>
      <c r="F46" s="17"/>
      <c r="G46" s="106" t="str">
        <f>IF($A46="go",CONCATENATE($B46,";",$C46,";",$D46,";",TEXT($E46,"00")),"")</f>
        <v/>
      </c>
    </row>
    <row r="47" spans="1:7" x14ac:dyDescent="0.25">
      <c r="A47" t="s">
        <v>53</v>
      </c>
      <c r="B47" t="s">
        <v>7</v>
      </c>
      <c r="C47" s="20" t="s">
        <v>26</v>
      </c>
      <c r="E47" s="92" t="s">
        <v>361</v>
      </c>
      <c r="F47" s="17"/>
      <c r="G47" s="106" t="str">
        <f t="shared" si="0"/>
        <v/>
      </c>
    </row>
    <row r="48" spans="1:7" x14ac:dyDescent="0.25">
      <c r="A48" t="s">
        <v>6</v>
      </c>
      <c r="B48" t="s">
        <v>7</v>
      </c>
      <c r="C48" s="20" t="s">
        <v>25</v>
      </c>
      <c r="E48" s="89">
        <f>ROUND($H$3,2)</f>
        <v>200</v>
      </c>
      <c r="F48" s="17"/>
      <c r="G48" s="106" t="str">
        <f>IF($A48="go",CONCATENATE($B48,";",$C48,";",$D48,";",$E48),"")</f>
        <v>A;MntNeto;;200</v>
      </c>
    </row>
    <row r="49" spans="1:7" x14ac:dyDescent="0.25">
      <c r="A49" t="s">
        <v>6</v>
      </c>
      <c r="B49" t="s">
        <v>7</v>
      </c>
      <c r="C49" s="20" t="s">
        <v>27</v>
      </c>
      <c r="E49" s="89">
        <f>ROUND($H$2,2)</f>
        <v>0</v>
      </c>
      <c r="F49" s="17"/>
      <c r="G49" s="106" t="str">
        <f t="shared" si="0"/>
        <v>A;MntTotGrat;;0</v>
      </c>
    </row>
    <row r="50" spans="1:7" x14ac:dyDescent="0.25">
      <c r="A50" t="s">
        <v>6</v>
      </c>
      <c r="B50" t="s">
        <v>7</v>
      </c>
      <c r="C50" s="20" t="s">
        <v>28</v>
      </c>
      <c r="E50" s="89">
        <f>ROUND($H$4,2)</f>
        <v>0</v>
      </c>
      <c r="F50" s="17"/>
      <c r="G50" s="106" t="str">
        <f t="shared" si="0"/>
        <v>A;MntTotAnticipo;;0</v>
      </c>
    </row>
    <row r="51" spans="1:7" x14ac:dyDescent="0.25">
      <c r="A51" t="s">
        <v>6</v>
      </c>
      <c r="B51" t="s">
        <v>7</v>
      </c>
      <c r="C51" s="20" t="s">
        <v>29</v>
      </c>
      <c r="E51" s="89">
        <f>ROUND($H$6,2)</f>
        <v>236</v>
      </c>
      <c r="G51" s="106" t="str">
        <f t="shared" si="0"/>
        <v>A;MntTotal;;236</v>
      </c>
    </row>
    <row r="52" spans="1:7" x14ac:dyDescent="0.25">
      <c r="A52" t="s">
        <v>6</v>
      </c>
      <c r="B52" t="s">
        <v>7</v>
      </c>
      <c r="C52" t="s">
        <v>30</v>
      </c>
      <c r="E52" t="str">
        <f>TEXT($D$3,"YYYY-MM-DD")</f>
        <v>2020-05-07</v>
      </c>
      <c r="G52" s="106" t="str">
        <f t="shared" si="0"/>
        <v>A;FchEmis;;2020-05-07</v>
      </c>
    </row>
    <row r="53" spans="1:7" x14ac:dyDescent="0.25">
      <c r="A53" t="s">
        <v>6</v>
      </c>
      <c r="B53" t="s">
        <v>7</v>
      </c>
      <c r="C53" t="s">
        <v>31</v>
      </c>
      <c r="E53" t="str">
        <f ca="1">TEXT(NOW(),"hh:mm:ss")</f>
        <v>12:19:43</v>
      </c>
      <c r="F53" s="17"/>
      <c r="G53" s="106" t="str">
        <f t="shared" ca="1" si="0"/>
        <v>A;HoraEmision;;12:19:43</v>
      </c>
    </row>
    <row r="54" spans="1:7" x14ac:dyDescent="0.25">
      <c r="A54" t="s">
        <v>53</v>
      </c>
      <c r="B54" t="s">
        <v>7</v>
      </c>
      <c r="C54" t="s">
        <v>32</v>
      </c>
      <c r="E54" t="s">
        <v>54</v>
      </c>
      <c r="F54" s="17"/>
      <c r="G54" s="106" t="str">
        <f t="shared" si="0"/>
        <v/>
      </c>
    </row>
    <row r="55" spans="1:7" x14ac:dyDescent="0.25">
      <c r="A55" t="str">
        <f>IF($E$55=9996,"null","go")</f>
        <v>go</v>
      </c>
      <c r="B55" t="s">
        <v>33</v>
      </c>
      <c r="C55" t="s">
        <v>34</v>
      </c>
      <c r="D55">
        <v>1</v>
      </c>
      <c r="E55" s="1">
        <f>IF(E48&gt;0,1000,9996)</f>
        <v>1000</v>
      </c>
      <c r="F55" s="17"/>
      <c r="G55" s="106" t="str">
        <f t="shared" si="0"/>
        <v>A2;CodigoImpuesto;1;1000</v>
      </c>
    </row>
    <row r="56" spans="1:7" x14ac:dyDescent="0.25">
      <c r="A56" t="str">
        <f>$A$55</f>
        <v>go</v>
      </c>
      <c r="B56" t="s">
        <v>33</v>
      </c>
      <c r="C56" s="20" t="s">
        <v>35</v>
      </c>
      <c r="D56">
        <v>1</v>
      </c>
      <c r="E56" s="18">
        <f>ROUND($H$5,2)</f>
        <v>36</v>
      </c>
      <c r="G56" s="106" t="str">
        <f t="shared" si="0"/>
        <v>A2;MontoImpuesto;1;36</v>
      </c>
    </row>
    <row r="57" spans="1:7" x14ac:dyDescent="0.25">
      <c r="A57" t="str">
        <f t="shared" ref="A57:A58" si="1">$A$55</f>
        <v>go</v>
      </c>
      <c r="B57" t="s">
        <v>33</v>
      </c>
      <c r="C57" t="s">
        <v>36</v>
      </c>
      <c r="D57">
        <v>1</v>
      </c>
      <c r="E57" s="1">
        <v>18</v>
      </c>
      <c r="F57" s="17"/>
      <c r="G57" s="106" t="str">
        <f t="shared" si="0"/>
        <v>A2;TasaImpuesto;1;18</v>
      </c>
    </row>
    <row r="58" spans="1:7" x14ac:dyDescent="0.25">
      <c r="A58" t="str">
        <f t="shared" si="1"/>
        <v>go</v>
      </c>
      <c r="B58" t="s">
        <v>33</v>
      </c>
      <c r="C58" s="20" t="s">
        <v>37</v>
      </c>
      <c r="D58">
        <v>1</v>
      </c>
      <c r="E58" s="14">
        <f>ROUND($H$3,2)</f>
        <v>200</v>
      </c>
      <c r="G58" s="106" t="str">
        <f t="shared" si="0"/>
        <v>A2;MontoImpuestoBase;1;200</v>
      </c>
    </row>
    <row r="59" spans="1:7" x14ac:dyDescent="0.25">
      <c r="A59" t="s">
        <v>53</v>
      </c>
      <c r="B59" t="s">
        <v>33</v>
      </c>
      <c r="C59" t="s">
        <v>34</v>
      </c>
      <c r="D59">
        <v>2</v>
      </c>
      <c r="E59" t="s">
        <v>54</v>
      </c>
      <c r="F59" s="17"/>
      <c r="G59" s="106" t="str">
        <f t="shared" si="0"/>
        <v/>
      </c>
    </row>
    <row r="60" spans="1:7" x14ac:dyDescent="0.25">
      <c r="A60" t="s">
        <v>53</v>
      </c>
      <c r="B60" t="s">
        <v>33</v>
      </c>
      <c r="C60" t="s">
        <v>35</v>
      </c>
      <c r="D60">
        <v>2</v>
      </c>
      <c r="E60" t="s">
        <v>54</v>
      </c>
      <c r="F60" s="17"/>
      <c r="G60" s="106" t="str">
        <f t="shared" si="0"/>
        <v/>
      </c>
    </row>
    <row r="61" spans="1:7" x14ac:dyDescent="0.25">
      <c r="A61" t="s">
        <v>53</v>
      </c>
      <c r="B61" t="s">
        <v>33</v>
      </c>
      <c r="C61" t="s">
        <v>36</v>
      </c>
      <c r="D61">
        <v>2</v>
      </c>
      <c r="E61" t="s">
        <v>54</v>
      </c>
      <c r="F61" s="17"/>
      <c r="G61" s="106" t="str">
        <f t="shared" si="0"/>
        <v/>
      </c>
    </row>
    <row r="62" spans="1:7" x14ac:dyDescent="0.25">
      <c r="A62" t="s">
        <v>53</v>
      </c>
      <c r="B62" t="s">
        <v>33</v>
      </c>
      <c r="C62" t="s">
        <v>37</v>
      </c>
      <c r="D62">
        <v>2</v>
      </c>
      <c r="E62" t="s">
        <v>54</v>
      </c>
      <c r="F62" s="17"/>
      <c r="G62" s="106" t="str">
        <f t="shared" si="0"/>
        <v/>
      </c>
    </row>
    <row r="63" spans="1:7" x14ac:dyDescent="0.25">
      <c r="A63" t="str">
        <f>IF(E64&gt;0,"go","null")</f>
        <v>null</v>
      </c>
      <c r="B63" t="s">
        <v>369</v>
      </c>
      <c r="C63" t="s">
        <v>370</v>
      </c>
      <c r="D63">
        <v>1</v>
      </c>
      <c r="E63">
        <v>2003</v>
      </c>
      <c r="F63" s="17"/>
      <c r="G63" s="106" t="str">
        <f t="shared" si="0"/>
        <v/>
      </c>
    </row>
    <row r="64" spans="1:7" x14ac:dyDescent="0.25">
      <c r="A64" t="str">
        <f>$A$63</f>
        <v>null</v>
      </c>
      <c r="B64" t="s">
        <v>369</v>
      </c>
      <c r="C64" t="s">
        <v>371</v>
      </c>
      <c r="D64">
        <v>1</v>
      </c>
      <c r="E64">
        <f>$K$8</f>
        <v>0</v>
      </c>
      <c r="F64" s="17"/>
      <c r="G64" s="106" t="str">
        <f t="shared" si="0"/>
        <v/>
      </c>
    </row>
    <row r="65" spans="1:7" x14ac:dyDescent="0.25">
      <c r="A65" t="str">
        <f t="shared" ref="A65:A74" si="2">$A$63</f>
        <v>null</v>
      </c>
      <c r="B65" t="s">
        <v>369</v>
      </c>
      <c r="C65" t="s">
        <v>372</v>
      </c>
      <c r="D65">
        <v>1</v>
      </c>
      <c r="E65">
        <f>$K$8</f>
        <v>0</v>
      </c>
      <c r="F65" s="17"/>
      <c r="G65" s="106" t="str">
        <f t="shared" si="0"/>
        <v/>
      </c>
    </row>
    <row r="66" spans="1:7" x14ac:dyDescent="0.25">
      <c r="A66" t="str">
        <f t="shared" si="2"/>
        <v>null</v>
      </c>
      <c r="B66" t="s">
        <v>369</v>
      </c>
      <c r="C66" t="s">
        <v>373</v>
      </c>
      <c r="D66">
        <v>1</v>
      </c>
      <c r="E66">
        <f>$K$7</f>
        <v>0</v>
      </c>
      <c r="F66" s="17"/>
      <c r="G66" s="106" t="str">
        <f t="shared" si="0"/>
        <v/>
      </c>
    </row>
    <row r="67" spans="1:7" x14ac:dyDescent="0.25">
      <c r="A67" t="str">
        <f t="shared" si="2"/>
        <v>null</v>
      </c>
      <c r="B67" t="s">
        <v>369</v>
      </c>
      <c r="C67" t="s">
        <v>370</v>
      </c>
      <c r="D67">
        <v>2</v>
      </c>
      <c r="E67">
        <v>3000</v>
      </c>
      <c r="F67" s="17"/>
      <c r="G67" s="106" t="str">
        <f t="shared" si="0"/>
        <v/>
      </c>
    </row>
    <row r="68" spans="1:7" x14ac:dyDescent="0.25">
      <c r="A68" t="str">
        <f t="shared" si="2"/>
        <v>null</v>
      </c>
      <c r="B68" t="s">
        <v>369</v>
      </c>
      <c r="C68" t="s">
        <v>371</v>
      </c>
      <c r="D68">
        <v>2</v>
      </c>
      <c r="E68">
        <f>$K$6</f>
        <v>0</v>
      </c>
      <c r="F68" s="17"/>
      <c r="G68" s="106" t="str">
        <f t="shared" si="0"/>
        <v/>
      </c>
    </row>
    <row r="69" spans="1:7" x14ac:dyDescent="0.25">
      <c r="A69" t="str">
        <f t="shared" si="2"/>
        <v>null</v>
      </c>
      <c r="B69" t="s">
        <v>369</v>
      </c>
      <c r="C69" t="s">
        <v>372</v>
      </c>
      <c r="D69">
        <v>2</v>
      </c>
      <c r="E69" s="2" t="s">
        <v>374</v>
      </c>
      <c r="F69" s="17"/>
      <c r="G69" s="106" t="str">
        <f t="shared" si="0"/>
        <v/>
      </c>
    </row>
    <row r="70" spans="1:7" x14ac:dyDescent="0.25">
      <c r="A70" t="str">
        <f t="shared" si="2"/>
        <v>null</v>
      </c>
      <c r="B70" t="s">
        <v>369</v>
      </c>
      <c r="C70" t="s">
        <v>373</v>
      </c>
      <c r="D70">
        <v>2</v>
      </c>
      <c r="E70" s="2" t="s">
        <v>374</v>
      </c>
      <c r="F70" s="17"/>
      <c r="G70" s="106" t="str">
        <f t="shared" si="0"/>
        <v/>
      </c>
    </row>
    <row r="71" spans="1:7" x14ac:dyDescent="0.25">
      <c r="A71" t="str">
        <f t="shared" si="2"/>
        <v>null</v>
      </c>
      <c r="B71" t="s">
        <v>369</v>
      </c>
      <c r="C71" t="s">
        <v>370</v>
      </c>
      <c r="D71">
        <v>3</v>
      </c>
      <c r="E71">
        <v>3001</v>
      </c>
      <c r="F71" s="17"/>
      <c r="G71" s="106" t="str">
        <f t="shared" si="0"/>
        <v/>
      </c>
    </row>
    <row r="72" spans="1:7" x14ac:dyDescent="0.25">
      <c r="A72" t="str">
        <f t="shared" si="2"/>
        <v>null</v>
      </c>
      <c r="B72" t="s">
        <v>369</v>
      </c>
      <c r="C72" t="s">
        <v>371</v>
      </c>
      <c r="D72">
        <v>3</v>
      </c>
      <c r="E72">
        <f>$K$9</f>
        <v>0</v>
      </c>
      <c r="F72" s="17"/>
      <c r="G72" s="106" t="str">
        <f t="shared" si="0"/>
        <v/>
      </c>
    </row>
    <row r="73" spans="1:7" x14ac:dyDescent="0.25">
      <c r="A73" t="str">
        <f t="shared" si="2"/>
        <v>null</v>
      </c>
      <c r="B73" t="s">
        <v>369</v>
      </c>
      <c r="C73" t="s">
        <v>372</v>
      </c>
      <c r="D73">
        <v>3</v>
      </c>
      <c r="E73" s="2" t="s">
        <v>374</v>
      </c>
      <c r="F73" s="17"/>
      <c r="G73" s="106" t="str">
        <f t="shared" si="0"/>
        <v/>
      </c>
    </row>
    <row r="74" spans="1:7" x14ac:dyDescent="0.25">
      <c r="A74" t="str">
        <f t="shared" si="2"/>
        <v>null</v>
      </c>
      <c r="B74" t="s">
        <v>369</v>
      </c>
      <c r="C74" t="s">
        <v>373</v>
      </c>
      <c r="D74">
        <v>3</v>
      </c>
      <c r="E74" s="2" t="s">
        <v>374</v>
      </c>
      <c r="F74" s="17"/>
      <c r="G74" s="106" t="str">
        <f t="shared" si="0"/>
        <v/>
      </c>
    </row>
    <row r="75" spans="1:7" x14ac:dyDescent="0.25">
      <c r="A75" t="s">
        <v>6</v>
      </c>
      <c r="B75" t="s">
        <v>39</v>
      </c>
      <c r="C75" t="s">
        <v>40</v>
      </c>
      <c r="D75">
        <v>1</v>
      </c>
      <c r="E75" s="44" t="str">
        <f>$A$16</f>
        <v>1</v>
      </c>
      <c r="G75" s="106" t="str">
        <f t="shared" si="0"/>
        <v>B;NroLinDet;1;1</v>
      </c>
    </row>
    <row r="76" spans="1:7" x14ac:dyDescent="0.25">
      <c r="A76" t="s">
        <v>6</v>
      </c>
      <c r="B76" t="s">
        <v>39</v>
      </c>
      <c r="C76" t="s">
        <v>41</v>
      </c>
      <c r="D76">
        <v>1</v>
      </c>
      <c r="E76" s="45">
        <f>$B$16</f>
        <v>0</v>
      </c>
      <c r="G76" s="106" t="str">
        <f t="shared" si="0"/>
        <v>B;QtyItem;1;0</v>
      </c>
    </row>
    <row r="77" spans="1:7" x14ac:dyDescent="0.25">
      <c r="A77" t="s">
        <v>6</v>
      </c>
      <c r="B77" t="s">
        <v>39</v>
      </c>
      <c r="C77" t="s">
        <v>42</v>
      </c>
      <c r="D77">
        <v>1</v>
      </c>
      <c r="E77" t="s">
        <v>57</v>
      </c>
      <c r="F77" s="17"/>
      <c r="G77" s="106" t="str">
        <f t="shared" si="0"/>
        <v>B;UnmdItem;1;NIU</v>
      </c>
    </row>
    <row r="78" spans="1:7" x14ac:dyDescent="0.25">
      <c r="A78" t="s">
        <v>6</v>
      </c>
      <c r="B78" t="s">
        <v>39</v>
      </c>
      <c r="C78" t="s">
        <v>43</v>
      </c>
      <c r="D78">
        <v>1</v>
      </c>
      <c r="E78" s="93">
        <f>$C$16</f>
        <v>0</v>
      </c>
      <c r="G78" s="106" t="str">
        <f t="shared" si="0"/>
        <v>B;VlrCodigo;1;0</v>
      </c>
    </row>
    <row r="79" spans="1:7" x14ac:dyDescent="0.25">
      <c r="A79" t="s">
        <v>6</v>
      </c>
      <c r="B79" t="s">
        <v>39</v>
      </c>
      <c r="C79" t="s">
        <v>44</v>
      </c>
      <c r="D79">
        <v>1</v>
      </c>
      <c r="E79" s="94">
        <f>$D$16</f>
        <v>0</v>
      </c>
      <c r="F79" s="17"/>
      <c r="G79" s="106" t="str">
        <f t="shared" si="0"/>
        <v>B;NmbItem;1;0</v>
      </c>
    </row>
    <row r="80" spans="1:7" x14ac:dyDescent="0.25">
      <c r="A80" t="s">
        <v>6</v>
      </c>
      <c r="B80" t="s">
        <v>39</v>
      </c>
      <c r="C80" t="s">
        <v>45</v>
      </c>
      <c r="D80">
        <v>1</v>
      </c>
      <c r="E80" s="14">
        <f>$F$16</f>
        <v>0</v>
      </c>
      <c r="G80" s="106" t="str">
        <f t="shared" si="0"/>
        <v>B;PrcItem;1;0</v>
      </c>
    </row>
    <row r="81" spans="1:7" x14ac:dyDescent="0.25">
      <c r="A81" t="s">
        <v>6</v>
      </c>
      <c r="B81" t="s">
        <v>39</v>
      </c>
      <c r="C81" t="s">
        <v>46</v>
      </c>
      <c r="D81">
        <v>1</v>
      </c>
      <c r="E81" s="14">
        <f>$G$16</f>
        <v>0</v>
      </c>
      <c r="G81" s="106" t="str">
        <f t="shared" si="0"/>
        <v>B;PrcItemSinIgv;1;0</v>
      </c>
    </row>
    <row r="82" spans="1:7" x14ac:dyDescent="0.25">
      <c r="A82" t="s">
        <v>6</v>
      </c>
      <c r="B82" t="s">
        <v>39</v>
      </c>
      <c r="C82" s="20" t="s">
        <v>47</v>
      </c>
      <c r="D82">
        <v>1</v>
      </c>
      <c r="E82" s="14">
        <f>ROUND($J$16,2)</f>
        <v>0</v>
      </c>
      <c r="G82" s="106" t="str">
        <f t="shared" si="0"/>
        <v>B;MontoItem;1;0</v>
      </c>
    </row>
    <row r="83" spans="1:7" x14ac:dyDescent="0.25">
      <c r="A83" t="s">
        <v>6</v>
      </c>
      <c r="B83" t="s">
        <v>39</v>
      </c>
      <c r="C83" t="s">
        <v>48</v>
      </c>
      <c r="D83">
        <v>1</v>
      </c>
      <c r="E83" s="1">
        <f>IF($E$84=10,1000,9996)</f>
        <v>1000</v>
      </c>
      <c r="F83" s="17"/>
      <c r="G83" s="106" t="str">
        <f t="shared" si="0"/>
        <v>B;CodigoTipoIgv;1;1000</v>
      </c>
    </row>
    <row r="84" spans="1:7" x14ac:dyDescent="0.25">
      <c r="A84" t="s">
        <v>6</v>
      </c>
      <c r="B84" t="s">
        <v>39</v>
      </c>
      <c r="C84" t="s">
        <v>49</v>
      </c>
      <c r="D84">
        <v>1</v>
      </c>
      <c r="E84" s="102">
        <f>$H$16</f>
        <v>10</v>
      </c>
      <c r="F84" s="17"/>
      <c r="G84" s="106" t="str">
        <f t="shared" si="0"/>
        <v>B;IndExe;1;10</v>
      </c>
    </row>
    <row r="85" spans="1:7" x14ac:dyDescent="0.25">
      <c r="A85" t="s">
        <v>6</v>
      </c>
      <c r="B85" t="s">
        <v>39</v>
      </c>
      <c r="C85" t="s">
        <v>50</v>
      </c>
      <c r="D85">
        <v>1</v>
      </c>
      <c r="E85" s="1">
        <v>18</v>
      </c>
      <c r="F85" s="17"/>
      <c r="G85" s="106" t="str">
        <f t="shared" si="0"/>
        <v>B;TasaIgv;1;18</v>
      </c>
    </row>
    <row r="86" spans="1:7" x14ac:dyDescent="0.25">
      <c r="A86" t="s">
        <v>6</v>
      </c>
      <c r="B86" t="s">
        <v>39</v>
      </c>
      <c r="C86" s="20" t="s">
        <v>51</v>
      </c>
      <c r="D86">
        <v>1</v>
      </c>
      <c r="E86" s="14">
        <f>ROUND($I$16,2)</f>
        <v>0</v>
      </c>
      <c r="G86" s="106" t="str">
        <f t="shared" si="0"/>
        <v>B;ImpuestoIgv;1;0</v>
      </c>
    </row>
    <row r="87" spans="1:7" x14ac:dyDescent="0.25">
      <c r="A87" t="s">
        <v>6</v>
      </c>
      <c r="B87" t="s">
        <v>39</v>
      </c>
      <c r="C87" t="s">
        <v>187</v>
      </c>
      <c r="D87">
        <v>1</v>
      </c>
      <c r="E87" s="13">
        <f>$E$16</f>
        <v>0</v>
      </c>
      <c r="G87" s="106" t="str">
        <f t="shared" si="0"/>
        <v>B;CodigoProductoSuna;1;0</v>
      </c>
    </row>
    <row r="88" spans="1:7" x14ac:dyDescent="0.25">
      <c r="A88" t="str">
        <f>$A$89</f>
        <v>null</v>
      </c>
      <c r="B88" t="s">
        <v>39</v>
      </c>
      <c r="C88" t="s">
        <v>40</v>
      </c>
      <c r="D88">
        <v>2</v>
      </c>
      <c r="E88" s="44" t="str">
        <f>$A$17</f>
        <v>2</v>
      </c>
      <c r="G88" s="106" t="str">
        <f t="shared" si="0"/>
        <v/>
      </c>
    </row>
    <row r="89" spans="1:7" x14ac:dyDescent="0.25">
      <c r="A89" t="str">
        <f>IF($E89&gt;0,"go","null")</f>
        <v>null</v>
      </c>
      <c r="B89" t="s">
        <v>39</v>
      </c>
      <c r="C89" t="s">
        <v>41</v>
      </c>
      <c r="D89">
        <v>2</v>
      </c>
      <c r="E89" s="103">
        <f>$B$17</f>
        <v>0</v>
      </c>
      <c r="G89" s="106" t="str">
        <f t="shared" si="0"/>
        <v/>
      </c>
    </row>
    <row r="90" spans="1:7" x14ac:dyDescent="0.25">
      <c r="A90" t="str">
        <f>$A$89</f>
        <v>null</v>
      </c>
      <c r="B90" t="s">
        <v>39</v>
      </c>
      <c r="C90" t="s">
        <v>42</v>
      </c>
      <c r="D90">
        <v>2</v>
      </c>
      <c r="E90" t="s">
        <v>57</v>
      </c>
      <c r="F90" s="17"/>
      <c r="G90" s="106" t="str">
        <f t="shared" si="0"/>
        <v/>
      </c>
    </row>
    <row r="91" spans="1:7" x14ac:dyDescent="0.25">
      <c r="A91" t="str">
        <f t="shared" ref="A91:A100" si="3">$A$89</f>
        <v>null</v>
      </c>
      <c r="B91" t="s">
        <v>39</v>
      </c>
      <c r="C91" t="s">
        <v>43</v>
      </c>
      <c r="D91">
        <v>2</v>
      </c>
      <c r="E91" s="93">
        <f>$C$17</f>
        <v>0</v>
      </c>
      <c r="G91" s="106" t="str">
        <f t="shared" si="0"/>
        <v/>
      </c>
    </row>
    <row r="92" spans="1:7" x14ac:dyDescent="0.25">
      <c r="A92" t="str">
        <f t="shared" si="3"/>
        <v>null</v>
      </c>
      <c r="B92" t="s">
        <v>39</v>
      </c>
      <c r="C92" t="s">
        <v>44</v>
      </c>
      <c r="D92">
        <v>2</v>
      </c>
      <c r="E92" s="104">
        <f>$D$17</f>
        <v>0</v>
      </c>
      <c r="F92" s="17"/>
      <c r="G92" s="106" t="str">
        <f t="shared" si="0"/>
        <v/>
      </c>
    </row>
    <row r="93" spans="1:7" x14ac:dyDescent="0.25">
      <c r="A93" t="str">
        <f t="shared" si="3"/>
        <v>null</v>
      </c>
      <c r="B93" t="s">
        <v>39</v>
      </c>
      <c r="C93" t="s">
        <v>45</v>
      </c>
      <c r="D93">
        <v>2</v>
      </c>
      <c r="E93" s="14">
        <f>$F$17</f>
        <v>0</v>
      </c>
      <c r="G93" s="106" t="str">
        <f t="shared" ref="G93:G156" si="4">IF($A93="go",CONCATENATE($B93,";",$C93,";",$D93,";",$E93),"")</f>
        <v/>
      </c>
    </row>
    <row r="94" spans="1:7" x14ac:dyDescent="0.25">
      <c r="A94" t="str">
        <f t="shared" si="3"/>
        <v>null</v>
      </c>
      <c r="B94" t="s">
        <v>39</v>
      </c>
      <c r="C94" t="s">
        <v>46</v>
      </c>
      <c r="D94">
        <v>2</v>
      </c>
      <c r="E94" s="14">
        <f>$G$17</f>
        <v>0</v>
      </c>
      <c r="G94" s="106" t="str">
        <f t="shared" si="4"/>
        <v/>
      </c>
    </row>
    <row r="95" spans="1:7" x14ac:dyDescent="0.25">
      <c r="A95" t="str">
        <f t="shared" si="3"/>
        <v>null</v>
      </c>
      <c r="B95" t="s">
        <v>39</v>
      </c>
      <c r="C95" s="20" t="s">
        <v>47</v>
      </c>
      <c r="D95">
        <v>2</v>
      </c>
      <c r="E95" s="14">
        <f>ROUND($J$17,2)</f>
        <v>0</v>
      </c>
      <c r="G95" s="106" t="str">
        <f t="shared" si="4"/>
        <v/>
      </c>
    </row>
    <row r="96" spans="1:7" x14ac:dyDescent="0.25">
      <c r="A96" t="str">
        <f t="shared" si="3"/>
        <v>null</v>
      </c>
      <c r="B96" t="s">
        <v>39</v>
      </c>
      <c r="C96" t="s">
        <v>48</v>
      </c>
      <c r="D96">
        <v>2</v>
      </c>
      <c r="E96" s="1">
        <f>IF($E$97=10,1000,9996)</f>
        <v>9996</v>
      </c>
      <c r="F96" s="17"/>
      <c r="G96" s="106" t="str">
        <f t="shared" si="4"/>
        <v/>
      </c>
    </row>
    <row r="97" spans="1:7" x14ac:dyDescent="0.25">
      <c r="A97" t="str">
        <f t="shared" si="3"/>
        <v>null</v>
      </c>
      <c r="B97" t="s">
        <v>39</v>
      </c>
      <c r="C97" t="s">
        <v>49</v>
      </c>
      <c r="D97">
        <v>2</v>
      </c>
      <c r="E97" s="102">
        <f>$H$17</f>
        <v>0</v>
      </c>
      <c r="F97" s="17"/>
      <c r="G97" s="106" t="str">
        <f t="shared" si="4"/>
        <v/>
      </c>
    </row>
    <row r="98" spans="1:7" x14ac:dyDescent="0.25">
      <c r="A98" t="str">
        <f t="shared" si="3"/>
        <v>null</v>
      </c>
      <c r="B98" t="s">
        <v>39</v>
      </c>
      <c r="C98" t="s">
        <v>50</v>
      </c>
      <c r="D98">
        <v>2</v>
      </c>
      <c r="E98" s="1">
        <v>18</v>
      </c>
      <c r="F98" s="17"/>
      <c r="G98" s="106" t="str">
        <f t="shared" si="4"/>
        <v/>
      </c>
    </row>
    <row r="99" spans="1:7" x14ac:dyDescent="0.25">
      <c r="A99" t="str">
        <f t="shared" si="3"/>
        <v>null</v>
      </c>
      <c r="B99" t="s">
        <v>39</v>
      </c>
      <c r="C99" s="20" t="s">
        <v>51</v>
      </c>
      <c r="D99">
        <v>2</v>
      </c>
      <c r="E99" s="14">
        <f>ROUND($I$17,2)</f>
        <v>0</v>
      </c>
      <c r="G99" s="106" t="str">
        <f t="shared" si="4"/>
        <v/>
      </c>
    </row>
    <row r="100" spans="1:7" x14ac:dyDescent="0.25">
      <c r="A100" t="str">
        <f t="shared" si="3"/>
        <v>null</v>
      </c>
      <c r="B100" t="s">
        <v>39</v>
      </c>
      <c r="C100" t="s">
        <v>187</v>
      </c>
      <c r="D100">
        <v>2</v>
      </c>
      <c r="E100" s="13">
        <f>$E$17</f>
        <v>0</v>
      </c>
      <c r="G100" s="106" t="str">
        <f t="shared" si="4"/>
        <v/>
      </c>
    </row>
    <row r="101" spans="1:7" x14ac:dyDescent="0.25">
      <c r="A101" t="str">
        <f>$A$102</f>
        <v>null</v>
      </c>
      <c r="B101" t="s">
        <v>39</v>
      </c>
      <c r="C101" t="s">
        <v>40</v>
      </c>
      <c r="D101">
        <v>3</v>
      </c>
      <c r="E101" s="44" t="str">
        <f>$A$18</f>
        <v>3</v>
      </c>
      <c r="G101" s="106" t="str">
        <f t="shared" si="4"/>
        <v/>
      </c>
    </row>
    <row r="102" spans="1:7" x14ac:dyDescent="0.25">
      <c r="A102" t="str">
        <f>IF($E102&gt;0,"go","null")</f>
        <v>null</v>
      </c>
      <c r="B102" t="s">
        <v>39</v>
      </c>
      <c r="C102" t="s">
        <v>41</v>
      </c>
      <c r="D102">
        <v>3</v>
      </c>
      <c r="E102" s="103">
        <f>$B$18</f>
        <v>0</v>
      </c>
      <c r="G102" s="106" t="str">
        <f t="shared" si="4"/>
        <v/>
      </c>
    </row>
    <row r="103" spans="1:7" x14ac:dyDescent="0.25">
      <c r="A103" t="str">
        <f>$A$102</f>
        <v>null</v>
      </c>
      <c r="B103" t="s">
        <v>39</v>
      </c>
      <c r="C103" t="s">
        <v>42</v>
      </c>
      <c r="D103">
        <v>3</v>
      </c>
      <c r="E103" t="s">
        <v>57</v>
      </c>
      <c r="F103" s="17"/>
      <c r="G103" s="106" t="str">
        <f t="shared" si="4"/>
        <v/>
      </c>
    </row>
    <row r="104" spans="1:7" x14ac:dyDescent="0.25">
      <c r="A104" t="str">
        <f t="shared" ref="A104:A113" si="5">$A$102</f>
        <v>null</v>
      </c>
      <c r="B104" t="s">
        <v>39</v>
      </c>
      <c r="C104" t="s">
        <v>43</v>
      </c>
      <c r="D104">
        <v>3</v>
      </c>
      <c r="E104" s="93">
        <f>$C$18</f>
        <v>0</v>
      </c>
      <c r="G104" s="106" t="str">
        <f t="shared" si="4"/>
        <v/>
      </c>
    </row>
    <row r="105" spans="1:7" x14ac:dyDescent="0.25">
      <c r="A105" t="str">
        <f t="shared" si="5"/>
        <v>null</v>
      </c>
      <c r="B105" t="s">
        <v>39</v>
      </c>
      <c r="C105" t="s">
        <v>44</v>
      </c>
      <c r="D105">
        <v>3</v>
      </c>
      <c r="E105" s="104">
        <f>$D$18</f>
        <v>0</v>
      </c>
      <c r="F105" s="17"/>
      <c r="G105" s="106" t="str">
        <f t="shared" si="4"/>
        <v/>
      </c>
    </row>
    <row r="106" spans="1:7" x14ac:dyDescent="0.25">
      <c r="A106" t="str">
        <f t="shared" si="5"/>
        <v>null</v>
      </c>
      <c r="B106" t="s">
        <v>39</v>
      </c>
      <c r="C106" t="s">
        <v>45</v>
      </c>
      <c r="D106">
        <v>3</v>
      </c>
      <c r="E106" s="14">
        <f>$F$18</f>
        <v>0</v>
      </c>
      <c r="G106" s="106" t="str">
        <f t="shared" si="4"/>
        <v/>
      </c>
    </row>
    <row r="107" spans="1:7" x14ac:dyDescent="0.25">
      <c r="A107" t="str">
        <f t="shared" si="5"/>
        <v>null</v>
      </c>
      <c r="B107" t="s">
        <v>39</v>
      </c>
      <c r="C107" t="s">
        <v>46</v>
      </c>
      <c r="D107">
        <v>3</v>
      </c>
      <c r="E107" s="14">
        <f>$G$18</f>
        <v>0</v>
      </c>
      <c r="G107" s="106" t="str">
        <f t="shared" si="4"/>
        <v/>
      </c>
    </row>
    <row r="108" spans="1:7" x14ac:dyDescent="0.25">
      <c r="A108" t="str">
        <f t="shared" si="5"/>
        <v>null</v>
      </c>
      <c r="B108" t="s">
        <v>39</v>
      </c>
      <c r="C108" s="20" t="s">
        <v>47</v>
      </c>
      <c r="D108">
        <v>3</v>
      </c>
      <c r="E108" s="14">
        <f>ROUND($J$18,2)</f>
        <v>0</v>
      </c>
      <c r="G108" s="106" t="str">
        <f t="shared" si="4"/>
        <v/>
      </c>
    </row>
    <row r="109" spans="1:7" x14ac:dyDescent="0.25">
      <c r="A109" t="str">
        <f t="shared" si="5"/>
        <v>null</v>
      </c>
      <c r="B109" t="s">
        <v>39</v>
      </c>
      <c r="C109" t="s">
        <v>48</v>
      </c>
      <c r="D109">
        <v>3</v>
      </c>
      <c r="E109" s="1">
        <f>IF($E$110=10,1000,9996)</f>
        <v>9996</v>
      </c>
      <c r="F109" s="17"/>
      <c r="G109" s="106" t="str">
        <f t="shared" si="4"/>
        <v/>
      </c>
    </row>
    <row r="110" spans="1:7" x14ac:dyDescent="0.25">
      <c r="A110" t="str">
        <f t="shared" si="5"/>
        <v>null</v>
      </c>
      <c r="B110" t="s">
        <v>39</v>
      </c>
      <c r="C110" t="s">
        <v>49</v>
      </c>
      <c r="D110">
        <v>3</v>
      </c>
      <c r="E110" s="102">
        <f>$H$18</f>
        <v>0</v>
      </c>
      <c r="F110" s="17"/>
      <c r="G110" s="106" t="str">
        <f t="shared" si="4"/>
        <v/>
      </c>
    </row>
    <row r="111" spans="1:7" x14ac:dyDescent="0.25">
      <c r="A111" t="str">
        <f t="shared" si="5"/>
        <v>null</v>
      </c>
      <c r="B111" t="s">
        <v>39</v>
      </c>
      <c r="C111" t="s">
        <v>50</v>
      </c>
      <c r="D111">
        <v>3</v>
      </c>
      <c r="E111" s="1">
        <v>18</v>
      </c>
      <c r="F111" s="17"/>
      <c r="G111" s="106" t="str">
        <f t="shared" si="4"/>
        <v/>
      </c>
    </row>
    <row r="112" spans="1:7" x14ac:dyDescent="0.25">
      <c r="A112" t="str">
        <f t="shared" si="5"/>
        <v>null</v>
      </c>
      <c r="B112" t="s">
        <v>39</v>
      </c>
      <c r="C112" s="20" t="s">
        <v>51</v>
      </c>
      <c r="D112">
        <v>3</v>
      </c>
      <c r="E112" s="14">
        <f>ROUND($I$18,2)</f>
        <v>0</v>
      </c>
      <c r="G112" s="106" t="str">
        <f t="shared" si="4"/>
        <v/>
      </c>
    </row>
    <row r="113" spans="1:7" x14ac:dyDescent="0.25">
      <c r="A113" t="str">
        <f t="shared" si="5"/>
        <v>null</v>
      </c>
      <c r="B113" t="s">
        <v>39</v>
      </c>
      <c r="C113" t="s">
        <v>187</v>
      </c>
      <c r="D113">
        <v>3</v>
      </c>
      <c r="E113" s="13">
        <f>$E$18</f>
        <v>0</v>
      </c>
      <c r="G113" s="106" t="str">
        <f t="shared" si="4"/>
        <v/>
      </c>
    </row>
    <row r="114" spans="1:7" x14ac:dyDescent="0.25">
      <c r="A114" t="str">
        <f>$A$115</f>
        <v>null</v>
      </c>
      <c r="B114" t="s">
        <v>39</v>
      </c>
      <c r="C114" t="s">
        <v>40</v>
      </c>
      <c r="D114">
        <v>4</v>
      </c>
      <c r="E114" s="44" t="str">
        <f>$A$19</f>
        <v>4</v>
      </c>
      <c r="G114" s="106" t="str">
        <f t="shared" si="4"/>
        <v/>
      </c>
    </row>
    <row r="115" spans="1:7" x14ac:dyDescent="0.25">
      <c r="A115" t="str">
        <f>IF($E115&gt;0,"go","null")</f>
        <v>null</v>
      </c>
      <c r="B115" t="s">
        <v>39</v>
      </c>
      <c r="C115" t="s">
        <v>41</v>
      </c>
      <c r="D115">
        <v>4</v>
      </c>
      <c r="E115" s="103">
        <f>$B$19</f>
        <v>0</v>
      </c>
      <c r="G115" s="106" t="str">
        <f t="shared" si="4"/>
        <v/>
      </c>
    </row>
    <row r="116" spans="1:7" x14ac:dyDescent="0.25">
      <c r="A116" t="str">
        <f>$A$115</f>
        <v>null</v>
      </c>
      <c r="B116" t="s">
        <v>39</v>
      </c>
      <c r="C116" t="s">
        <v>42</v>
      </c>
      <c r="D116">
        <v>4</v>
      </c>
      <c r="E116" t="s">
        <v>57</v>
      </c>
      <c r="F116" s="17"/>
      <c r="G116" s="106" t="str">
        <f t="shared" si="4"/>
        <v/>
      </c>
    </row>
    <row r="117" spans="1:7" x14ac:dyDescent="0.25">
      <c r="A117" t="str">
        <f t="shared" ref="A117:A126" si="6">$A$115</f>
        <v>null</v>
      </c>
      <c r="B117" t="s">
        <v>39</v>
      </c>
      <c r="C117" t="s">
        <v>43</v>
      </c>
      <c r="D117">
        <v>4</v>
      </c>
      <c r="E117" s="93">
        <f>$C$19</f>
        <v>0</v>
      </c>
      <c r="G117" s="106" t="str">
        <f t="shared" si="4"/>
        <v/>
      </c>
    </row>
    <row r="118" spans="1:7" x14ac:dyDescent="0.25">
      <c r="A118" t="str">
        <f t="shared" si="6"/>
        <v>null</v>
      </c>
      <c r="B118" t="s">
        <v>39</v>
      </c>
      <c r="C118" t="s">
        <v>44</v>
      </c>
      <c r="D118">
        <v>4</v>
      </c>
      <c r="E118" s="104">
        <f>$D$19</f>
        <v>0</v>
      </c>
      <c r="F118" s="17"/>
      <c r="G118" s="106" t="str">
        <f t="shared" si="4"/>
        <v/>
      </c>
    </row>
    <row r="119" spans="1:7" x14ac:dyDescent="0.25">
      <c r="A119" t="str">
        <f t="shared" si="6"/>
        <v>null</v>
      </c>
      <c r="B119" t="s">
        <v>39</v>
      </c>
      <c r="C119" t="s">
        <v>45</v>
      </c>
      <c r="D119">
        <v>4</v>
      </c>
      <c r="E119" s="14">
        <f>$F$19</f>
        <v>0</v>
      </c>
      <c r="G119" s="106" t="str">
        <f t="shared" si="4"/>
        <v/>
      </c>
    </row>
    <row r="120" spans="1:7" x14ac:dyDescent="0.25">
      <c r="A120" t="str">
        <f t="shared" si="6"/>
        <v>null</v>
      </c>
      <c r="B120" t="s">
        <v>39</v>
      </c>
      <c r="C120" t="s">
        <v>46</v>
      </c>
      <c r="D120">
        <v>4</v>
      </c>
      <c r="E120" s="14">
        <f>$G$19</f>
        <v>0</v>
      </c>
      <c r="G120" s="106" t="str">
        <f t="shared" si="4"/>
        <v/>
      </c>
    </row>
    <row r="121" spans="1:7" x14ac:dyDescent="0.25">
      <c r="A121" t="str">
        <f t="shared" si="6"/>
        <v>null</v>
      </c>
      <c r="B121" t="s">
        <v>39</v>
      </c>
      <c r="C121" s="20" t="s">
        <v>47</v>
      </c>
      <c r="D121">
        <v>4</v>
      </c>
      <c r="E121" s="14">
        <f>ROUND($J$19,2)</f>
        <v>0</v>
      </c>
      <c r="G121" s="106" t="str">
        <f t="shared" si="4"/>
        <v/>
      </c>
    </row>
    <row r="122" spans="1:7" x14ac:dyDescent="0.25">
      <c r="A122" t="str">
        <f t="shared" si="6"/>
        <v>null</v>
      </c>
      <c r="B122" t="s">
        <v>39</v>
      </c>
      <c r="C122" t="s">
        <v>48</v>
      </c>
      <c r="D122">
        <v>4</v>
      </c>
      <c r="E122" s="1">
        <f>IF($E$123=10,1000,9996)</f>
        <v>9996</v>
      </c>
      <c r="F122" s="17"/>
      <c r="G122" s="106" t="str">
        <f t="shared" si="4"/>
        <v/>
      </c>
    </row>
    <row r="123" spans="1:7" x14ac:dyDescent="0.25">
      <c r="A123" t="str">
        <f t="shared" si="6"/>
        <v>null</v>
      </c>
      <c r="B123" t="s">
        <v>39</v>
      </c>
      <c r="C123" t="s">
        <v>49</v>
      </c>
      <c r="D123">
        <v>4</v>
      </c>
      <c r="E123" s="102">
        <f>$H$19</f>
        <v>0</v>
      </c>
      <c r="F123" s="17"/>
      <c r="G123" s="106" t="str">
        <f t="shared" si="4"/>
        <v/>
      </c>
    </row>
    <row r="124" spans="1:7" x14ac:dyDescent="0.25">
      <c r="A124" t="str">
        <f t="shared" si="6"/>
        <v>null</v>
      </c>
      <c r="B124" t="s">
        <v>39</v>
      </c>
      <c r="C124" t="s">
        <v>50</v>
      </c>
      <c r="D124">
        <v>4</v>
      </c>
      <c r="E124" s="1">
        <v>18</v>
      </c>
      <c r="F124" s="17"/>
      <c r="G124" s="106" t="str">
        <f t="shared" si="4"/>
        <v/>
      </c>
    </row>
    <row r="125" spans="1:7" x14ac:dyDescent="0.25">
      <c r="A125" t="str">
        <f t="shared" si="6"/>
        <v>null</v>
      </c>
      <c r="B125" t="s">
        <v>39</v>
      </c>
      <c r="C125" s="20" t="s">
        <v>51</v>
      </c>
      <c r="D125">
        <v>4</v>
      </c>
      <c r="E125" s="14">
        <f>ROUND($I$19,2)</f>
        <v>0</v>
      </c>
      <c r="G125" s="106" t="str">
        <f t="shared" si="4"/>
        <v/>
      </c>
    </row>
    <row r="126" spans="1:7" x14ac:dyDescent="0.25">
      <c r="A126" t="str">
        <f t="shared" si="6"/>
        <v>null</v>
      </c>
      <c r="B126" t="s">
        <v>39</v>
      </c>
      <c r="C126" t="s">
        <v>187</v>
      </c>
      <c r="D126">
        <v>4</v>
      </c>
      <c r="E126" s="13">
        <f>$E$19</f>
        <v>0</v>
      </c>
      <c r="G126" s="106" t="str">
        <f t="shared" si="4"/>
        <v/>
      </c>
    </row>
    <row r="127" spans="1:7" x14ac:dyDescent="0.25">
      <c r="A127" t="str">
        <f>$A$128</f>
        <v>null</v>
      </c>
      <c r="B127" t="s">
        <v>39</v>
      </c>
      <c r="C127" t="s">
        <v>40</v>
      </c>
      <c r="D127">
        <v>5</v>
      </c>
      <c r="E127" s="44" t="str">
        <f>$A$20</f>
        <v>5</v>
      </c>
      <c r="G127" s="106" t="str">
        <f t="shared" si="4"/>
        <v/>
      </c>
    </row>
    <row r="128" spans="1:7" x14ac:dyDescent="0.25">
      <c r="A128" t="str">
        <f>IF($E128&gt;0,"go","null")</f>
        <v>null</v>
      </c>
      <c r="B128" t="s">
        <v>39</v>
      </c>
      <c r="C128" t="s">
        <v>41</v>
      </c>
      <c r="D128">
        <v>5</v>
      </c>
      <c r="E128" s="103">
        <f>$B$20</f>
        <v>0</v>
      </c>
      <c r="G128" s="106" t="str">
        <f t="shared" si="4"/>
        <v/>
      </c>
    </row>
    <row r="129" spans="1:7" x14ac:dyDescent="0.25">
      <c r="A129" t="str">
        <f>$A$128</f>
        <v>null</v>
      </c>
      <c r="B129" t="s">
        <v>39</v>
      </c>
      <c r="C129" t="s">
        <v>42</v>
      </c>
      <c r="D129">
        <v>5</v>
      </c>
      <c r="E129" t="s">
        <v>57</v>
      </c>
      <c r="F129" s="17"/>
      <c r="G129" s="106" t="str">
        <f t="shared" si="4"/>
        <v/>
      </c>
    </row>
    <row r="130" spans="1:7" x14ac:dyDescent="0.25">
      <c r="A130" t="str">
        <f t="shared" ref="A130:A139" si="7">$A$128</f>
        <v>null</v>
      </c>
      <c r="B130" t="s">
        <v>39</v>
      </c>
      <c r="C130" t="s">
        <v>43</v>
      </c>
      <c r="D130">
        <v>5</v>
      </c>
      <c r="E130" s="93">
        <f>$C$20</f>
        <v>0</v>
      </c>
      <c r="G130" s="106" t="str">
        <f t="shared" si="4"/>
        <v/>
      </c>
    </row>
    <row r="131" spans="1:7" x14ac:dyDescent="0.25">
      <c r="A131" t="str">
        <f t="shared" si="7"/>
        <v>null</v>
      </c>
      <c r="B131" t="s">
        <v>39</v>
      </c>
      <c r="C131" t="s">
        <v>44</v>
      </c>
      <c r="D131">
        <v>5</v>
      </c>
      <c r="E131" s="104">
        <f>$D$20</f>
        <v>0</v>
      </c>
      <c r="F131" s="17"/>
      <c r="G131" s="106" t="str">
        <f t="shared" si="4"/>
        <v/>
      </c>
    </row>
    <row r="132" spans="1:7" x14ac:dyDescent="0.25">
      <c r="A132" t="str">
        <f t="shared" si="7"/>
        <v>null</v>
      </c>
      <c r="B132" t="s">
        <v>39</v>
      </c>
      <c r="C132" t="s">
        <v>45</v>
      </c>
      <c r="D132">
        <v>5</v>
      </c>
      <c r="E132" s="14">
        <f>$F$20</f>
        <v>0</v>
      </c>
      <c r="G132" s="106" t="str">
        <f t="shared" si="4"/>
        <v/>
      </c>
    </row>
    <row r="133" spans="1:7" x14ac:dyDescent="0.25">
      <c r="A133" t="str">
        <f t="shared" si="7"/>
        <v>null</v>
      </c>
      <c r="B133" t="s">
        <v>39</v>
      </c>
      <c r="C133" t="s">
        <v>46</v>
      </c>
      <c r="D133">
        <v>5</v>
      </c>
      <c r="E133" s="14">
        <f>$G$20</f>
        <v>0</v>
      </c>
      <c r="G133" s="106" t="str">
        <f t="shared" si="4"/>
        <v/>
      </c>
    </row>
    <row r="134" spans="1:7" x14ac:dyDescent="0.25">
      <c r="A134" t="str">
        <f t="shared" si="7"/>
        <v>null</v>
      </c>
      <c r="B134" t="s">
        <v>39</v>
      </c>
      <c r="C134" s="20" t="s">
        <v>47</v>
      </c>
      <c r="D134">
        <v>5</v>
      </c>
      <c r="E134" s="14">
        <f>ROUND($J$20,2)</f>
        <v>0</v>
      </c>
      <c r="G134" s="106" t="str">
        <f t="shared" si="4"/>
        <v/>
      </c>
    </row>
    <row r="135" spans="1:7" x14ac:dyDescent="0.25">
      <c r="A135" t="str">
        <f t="shared" si="7"/>
        <v>null</v>
      </c>
      <c r="B135" t="s">
        <v>39</v>
      </c>
      <c r="C135" t="s">
        <v>48</v>
      </c>
      <c r="D135">
        <v>5</v>
      </c>
      <c r="E135" s="1">
        <f>IF($E$136=10,1000,9996)</f>
        <v>9996</v>
      </c>
      <c r="F135" s="17"/>
      <c r="G135" s="106" t="str">
        <f t="shared" si="4"/>
        <v/>
      </c>
    </row>
    <row r="136" spans="1:7" x14ac:dyDescent="0.25">
      <c r="A136" t="str">
        <f t="shared" si="7"/>
        <v>null</v>
      </c>
      <c r="B136" t="s">
        <v>39</v>
      </c>
      <c r="C136" t="s">
        <v>49</v>
      </c>
      <c r="D136">
        <v>5</v>
      </c>
      <c r="E136" s="102">
        <f>$H$20</f>
        <v>0</v>
      </c>
      <c r="F136" s="17"/>
      <c r="G136" s="106" t="str">
        <f t="shared" si="4"/>
        <v/>
      </c>
    </row>
    <row r="137" spans="1:7" x14ac:dyDescent="0.25">
      <c r="A137" t="str">
        <f t="shared" si="7"/>
        <v>null</v>
      </c>
      <c r="B137" t="s">
        <v>39</v>
      </c>
      <c r="C137" t="s">
        <v>50</v>
      </c>
      <c r="D137">
        <v>5</v>
      </c>
      <c r="E137" s="1">
        <v>18</v>
      </c>
      <c r="F137" s="17"/>
      <c r="G137" s="106" t="str">
        <f t="shared" si="4"/>
        <v/>
      </c>
    </row>
    <row r="138" spans="1:7" x14ac:dyDescent="0.25">
      <c r="A138" t="str">
        <f t="shared" si="7"/>
        <v>null</v>
      </c>
      <c r="B138" t="s">
        <v>39</v>
      </c>
      <c r="C138" s="20" t="s">
        <v>51</v>
      </c>
      <c r="D138">
        <v>5</v>
      </c>
      <c r="E138" s="14">
        <f>ROUND($I$20,2)</f>
        <v>0</v>
      </c>
      <c r="G138" s="106" t="str">
        <f t="shared" si="4"/>
        <v/>
      </c>
    </row>
    <row r="139" spans="1:7" x14ac:dyDescent="0.25">
      <c r="A139" t="str">
        <f t="shared" si="7"/>
        <v>null</v>
      </c>
      <c r="B139" t="s">
        <v>39</v>
      </c>
      <c r="C139" t="s">
        <v>187</v>
      </c>
      <c r="D139">
        <v>5</v>
      </c>
      <c r="E139" s="13">
        <f>$E$20</f>
        <v>0</v>
      </c>
      <c r="G139" s="106" t="str">
        <f t="shared" si="4"/>
        <v/>
      </c>
    </row>
    <row r="140" spans="1:7" x14ac:dyDescent="0.25">
      <c r="A140" t="str">
        <f>$A$141</f>
        <v>null</v>
      </c>
      <c r="B140" t="s">
        <v>39</v>
      </c>
      <c r="C140" t="s">
        <v>40</v>
      </c>
      <c r="D140">
        <v>6</v>
      </c>
      <c r="E140" s="44" t="str">
        <f>$A$21</f>
        <v>6</v>
      </c>
      <c r="G140" s="106" t="str">
        <f t="shared" si="4"/>
        <v/>
      </c>
    </row>
    <row r="141" spans="1:7" x14ac:dyDescent="0.25">
      <c r="A141" t="str">
        <f>IF($E141&gt;0,"go","null")</f>
        <v>null</v>
      </c>
      <c r="B141" t="s">
        <v>39</v>
      </c>
      <c r="C141" t="s">
        <v>41</v>
      </c>
      <c r="D141">
        <v>6</v>
      </c>
      <c r="E141" s="103">
        <f>$B$21</f>
        <v>0</v>
      </c>
      <c r="G141" s="106" t="str">
        <f t="shared" si="4"/>
        <v/>
      </c>
    </row>
    <row r="142" spans="1:7" x14ac:dyDescent="0.25">
      <c r="A142" t="str">
        <f>$A$141</f>
        <v>null</v>
      </c>
      <c r="B142" t="s">
        <v>39</v>
      </c>
      <c r="C142" t="s">
        <v>42</v>
      </c>
      <c r="D142">
        <v>6</v>
      </c>
      <c r="E142" t="s">
        <v>57</v>
      </c>
      <c r="F142" s="17"/>
      <c r="G142" s="106" t="str">
        <f t="shared" si="4"/>
        <v/>
      </c>
    </row>
    <row r="143" spans="1:7" x14ac:dyDescent="0.25">
      <c r="A143" t="str">
        <f t="shared" ref="A143:A152" si="8">$A$141</f>
        <v>null</v>
      </c>
      <c r="B143" t="s">
        <v>39</v>
      </c>
      <c r="C143" t="s">
        <v>43</v>
      </c>
      <c r="D143">
        <v>6</v>
      </c>
      <c r="E143" s="93">
        <f>$C$21</f>
        <v>0</v>
      </c>
      <c r="G143" s="106" t="str">
        <f t="shared" si="4"/>
        <v/>
      </c>
    </row>
    <row r="144" spans="1:7" x14ac:dyDescent="0.25">
      <c r="A144" t="str">
        <f t="shared" si="8"/>
        <v>null</v>
      </c>
      <c r="B144" t="s">
        <v>39</v>
      </c>
      <c r="C144" t="s">
        <v>44</v>
      </c>
      <c r="D144">
        <v>6</v>
      </c>
      <c r="E144" s="104">
        <f>$D$21</f>
        <v>0</v>
      </c>
      <c r="F144" s="17"/>
      <c r="G144" s="106" t="str">
        <f t="shared" si="4"/>
        <v/>
      </c>
    </row>
    <row r="145" spans="1:7" x14ac:dyDescent="0.25">
      <c r="A145" t="str">
        <f t="shared" si="8"/>
        <v>null</v>
      </c>
      <c r="B145" t="s">
        <v>39</v>
      </c>
      <c r="C145" t="s">
        <v>45</v>
      </c>
      <c r="D145">
        <v>6</v>
      </c>
      <c r="E145" s="14">
        <f>$F$21</f>
        <v>0</v>
      </c>
      <c r="G145" s="106" t="str">
        <f t="shared" si="4"/>
        <v/>
      </c>
    </row>
    <row r="146" spans="1:7" x14ac:dyDescent="0.25">
      <c r="A146" t="str">
        <f t="shared" si="8"/>
        <v>null</v>
      </c>
      <c r="B146" t="s">
        <v>39</v>
      </c>
      <c r="C146" t="s">
        <v>46</v>
      </c>
      <c r="D146">
        <v>6</v>
      </c>
      <c r="E146" s="14">
        <f>$G$21</f>
        <v>0</v>
      </c>
      <c r="G146" s="106" t="str">
        <f t="shared" si="4"/>
        <v/>
      </c>
    </row>
    <row r="147" spans="1:7" x14ac:dyDescent="0.25">
      <c r="A147" t="str">
        <f t="shared" si="8"/>
        <v>null</v>
      </c>
      <c r="B147" t="s">
        <v>39</v>
      </c>
      <c r="C147" s="20" t="s">
        <v>47</v>
      </c>
      <c r="D147">
        <v>6</v>
      </c>
      <c r="E147" s="14">
        <f>ROUND($J$21,2)</f>
        <v>0</v>
      </c>
      <c r="G147" s="106" t="str">
        <f t="shared" si="4"/>
        <v/>
      </c>
    </row>
    <row r="148" spans="1:7" x14ac:dyDescent="0.25">
      <c r="A148" t="str">
        <f t="shared" si="8"/>
        <v>null</v>
      </c>
      <c r="B148" t="s">
        <v>39</v>
      </c>
      <c r="C148" t="s">
        <v>48</v>
      </c>
      <c r="D148">
        <v>6</v>
      </c>
      <c r="E148" s="1">
        <f>IF($E$149=10,1000,9996)</f>
        <v>9996</v>
      </c>
      <c r="F148" s="17"/>
      <c r="G148" s="106" t="str">
        <f t="shared" si="4"/>
        <v/>
      </c>
    </row>
    <row r="149" spans="1:7" x14ac:dyDescent="0.25">
      <c r="A149" t="str">
        <f t="shared" si="8"/>
        <v>null</v>
      </c>
      <c r="B149" t="s">
        <v>39</v>
      </c>
      <c r="C149" t="s">
        <v>49</v>
      </c>
      <c r="D149">
        <v>6</v>
      </c>
      <c r="E149" s="102">
        <f>$H$21</f>
        <v>0</v>
      </c>
      <c r="F149" s="17"/>
      <c r="G149" s="106" t="str">
        <f t="shared" si="4"/>
        <v/>
      </c>
    </row>
    <row r="150" spans="1:7" x14ac:dyDescent="0.25">
      <c r="A150" t="str">
        <f t="shared" si="8"/>
        <v>null</v>
      </c>
      <c r="B150" t="s">
        <v>39</v>
      </c>
      <c r="C150" t="s">
        <v>50</v>
      </c>
      <c r="D150">
        <v>6</v>
      </c>
      <c r="E150" s="1">
        <v>18</v>
      </c>
      <c r="F150" s="17"/>
      <c r="G150" s="106" t="str">
        <f t="shared" si="4"/>
        <v/>
      </c>
    </row>
    <row r="151" spans="1:7" x14ac:dyDescent="0.25">
      <c r="A151" t="str">
        <f t="shared" si="8"/>
        <v>null</v>
      </c>
      <c r="B151" t="s">
        <v>39</v>
      </c>
      <c r="C151" s="20" t="s">
        <v>51</v>
      </c>
      <c r="D151">
        <v>6</v>
      </c>
      <c r="E151" s="14">
        <f>ROUND($I$21,2)</f>
        <v>0</v>
      </c>
      <c r="G151" s="106" t="str">
        <f t="shared" si="4"/>
        <v/>
      </c>
    </row>
    <row r="152" spans="1:7" x14ac:dyDescent="0.25">
      <c r="A152" t="str">
        <f t="shared" si="8"/>
        <v>null</v>
      </c>
      <c r="B152" t="s">
        <v>39</v>
      </c>
      <c r="C152" t="s">
        <v>187</v>
      </c>
      <c r="D152">
        <v>6</v>
      </c>
      <c r="E152" s="13">
        <f>$E$21</f>
        <v>0</v>
      </c>
      <c r="G152" s="106" t="str">
        <f t="shared" si="4"/>
        <v/>
      </c>
    </row>
    <row r="153" spans="1:7" x14ac:dyDescent="0.25">
      <c r="A153" t="str">
        <f>$A$154</f>
        <v>null</v>
      </c>
      <c r="B153" t="s">
        <v>39</v>
      </c>
      <c r="C153" t="s">
        <v>40</v>
      </c>
      <c r="D153">
        <v>7</v>
      </c>
      <c r="E153" s="44" t="str">
        <f>$A$22</f>
        <v>7</v>
      </c>
      <c r="G153" s="106" t="str">
        <f t="shared" si="4"/>
        <v/>
      </c>
    </row>
    <row r="154" spans="1:7" x14ac:dyDescent="0.25">
      <c r="A154" t="str">
        <f>IF($E154&gt;0,"go","null")</f>
        <v>null</v>
      </c>
      <c r="B154" t="s">
        <v>39</v>
      </c>
      <c r="C154" t="s">
        <v>41</v>
      </c>
      <c r="D154">
        <v>7</v>
      </c>
      <c r="E154" s="103">
        <f>$B$22</f>
        <v>0</v>
      </c>
      <c r="G154" s="106" t="str">
        <f t="shared" si="4"/>
        <v/>
      </c>
    </row>
    <row r="155" spans="1:7" x14ac:dyDescent="0.25">
      <c r="A155" t="str">
        <f>$A$154</f>
        <v>null</v>
      </c>
      <c r="B155" t="s">
        <v>39</v>
      </c>
      <c r="C155" t="s">
        <v>42</v>
      </c>
      <c r="D155">
        <v>7</v>
      </c>
      <c r="E155" t="s">
        <v>57</v>
      </c>
      <c r="F155" s="17"/>
      <c r="G155" s="106" t="str">
        <f t="shared" si="4"/>
        <v/>
      </c>
    </row>
    <row r="156" spans="1:7" x14ac:dyDescent="0.25">
      <c r="A156" t="str">
        <f t="shared" ref="A156:A165" si="9">$A$154</f>
        <v>null</v>
      </c>
      <c r="B156" t="s">
        <v>39</v>
      </c>
      <c r="C156" t="s">
        <v>43</v>
      </c>
      <c r="D156">
        <v>7</v>
      </c>
      <c r="E156" s="93">
        <f>$C$22</f>
        <v>0</v>
      </c>
      <c r="G156" s="106" t="str">
        <f t="shared" si="4"/>
        <v/>
      </c>
    </row>
    <row r="157" spans="1:7" x14ac:dyDescent="0.25">
      <c r="A157" t="str">
        <f t="shared" si="9"/>
        <v>null</v>
      </c>
      <c r="B157" t="s">
        <v>39</v>
      </c>
      <c r="C157" t="s">
        <v>44</v>
      </c>
      <c r="D157">
        <v>7</v>
      </c>
      <c r="E157" s="104">
        <f>$D$22</f>
        <v>0</v>
      </c>
      <c r="F157" s="17"/>
      <c r="G157" s="106" t="str">
        <f t="shared" ref="G157:G220" si="10">IF($A157="go",CONCATENATE($B157,";",$C157,";",$D157,";",$E157),"")</f>
        <v/>
      </c>
    </row>
    <row r="158" spans="1:7" x14ac:dyDescent="0.25">
      <c r="A158" t="str">
        <f t="shared" si="9"/>
        <v>null</v>
      </c>
      <c r="B158" t="s">
        <v>39</v>
      </c>
      <c r="C158" t="s">
        <v>45</v>
      </c>
      <c r="D158">
        <v>7</v>
      </c>
      <c r="E158" s="14">
        <f>$F$22</f>
        <v>0</v>
      </c>
      <c r="G158" s="106" t="str">
        <f t="shared" si="10"/>
        <v/>
      </c>
    </row>
    <row r="159" spans="1:7" x14ac:dyDescent="0.25">
      <c r="A159" t="str">
        <f t="shared" si="9"/>
        <v>null</v>
      </c>
      <c r="B159" t="s">
        <v>39</v>
      </c>
      <c r="C159" t="s">
        <v>46</v>
      </c>
      <c r="D159">
        <v>7</v>
      </c>
      <c r="E159" s="14">
        <f>$G$22</f>
        <v>0</v>
      </c>
      <c r="G159" s="106" t="str">
        <f t="shared" si="10"/>
        <v/>
      </c>
    </row>
    <row r="160" spans="1:7" x14ac:dyDescent="0.25">
      <c r="A160" t="str">
        <f t="shared" si="9"/>
        <v>null</v>
      </c>
      <c r="B160" t="s">
        <v>39</v>
      </c>
      <c r="C160" s="20" t="s">
        <v>47</v>
      </c>
      <c r="D160">
        <v>7</v>
      </c>
      <c r="E160" s="14">
        <f>ROUND($J$22,2)</f>
        <v>0</v>
      </c>
      <c r="G160" s="106" t="str">
        <f t="shared" si="10"/>
        <v/>
      </c>
    </row>
    <row r="161" spans="1:7" x14ac:dyDescent="0.25">
      <c r="A161" t="str">
        <f t="shared" si="9"/>
        <v>null</v>
      </c>
      <c r="B161" t="s">
        <v>39</v>
      </c>
      <c r="C161" t="s">
        <v>48</v>
      </c>
      <c r="D161">
        <v>7</v>
      </c>
      <c r="E161" s="1">
        <f>IF($E$162=10,1000,9996)</f>
        <v>9996</v>
      </c>
      <c r="F161" s="17"/>
      <c r="G161" s="106" t="str">
        <f t="shared" si="10"/>
        <v/>
      </c>
    </row>
    <row r="162" spans="1:7" x14ac:dyDescent="0.25">
      <c r="A162" t="str">
        <f t="shared" si="9"/>
        <v>null</v>
      </c>
      <c r="B162" t="s">
        <v>39</v>
      </c>
      <c r="C162" t="s">
        <v>49</v>
      </c>
      <c r="D162">
        <v>7</v>
      </c>
      <c r="E162" s="102">
        <f>$H$22</f>
        <v>0</v>
      </c>
      <c r="F162" s="17"/>
      <c r="G162" s="106" t="str">
        <f t="shared" si="10"/>
        <v/>
      </c>
    </row>
    <row r="163" spans="1:7" x14ac:dyDescent="0.25">
      <c r="A163" t="str">
        <f t="shared" si="9"/>
        <v>null</v>
      </c>
      <c r="B163" t="s">
        <v>39</v>
      </c>
      <c r="C163" t="s">
        <v>50</v>
      </c>
      <c r="D163">
        <v>7</v>
      </c>
      <c r="E163" s="1">
        <v>18</v>
      </c>
      <c r="F163" s="17"/>
      <c r="G163" s="106" t="str">
        <f t="shared" si="10"/>
        <v/>
      </c>
    </row>
    <row r="164" spans="1:7" x14ac:dyDescent="0.25">
      <c r="A164" t="str">
        <f t="shared" si="9"/>
        <v>null</v>
      </c>
      <c r="B164" t="s">
        <v>39</v>
      </c>
      <c r="C164" s="20" t="s">
        <v>51</v>
      </c>
      <c r="D164">
        <v>7</v>
      </c>
      <c r="E164" s="14">
        <f>ROUND($I$22,2)</f>
        <v>0</v>
      </c>
      <c r="G164" s="106" t="str">
        <f t="shared" si="10"/>
        <v/>
      </c>
    </row>
    <row r="165" spans="1:7" x14ac:dyDescent="0.25">
      <c r="A165" t="str">
        <f t="shared" si="9"/>
        <v>null</v>
      </c>
      <c r="B165" t="s">
        <v>39</v>
      </c>
      <c r="C165" t="s">
        <v>187</v>
      </c>
      <c r="D165">
        <v>7</v>
      </c>
      <c r="E165" s="13">
        <f>$E$22</f>
        <v>0</v>
      </c>
      <c r="G165" s="106" t="str">
        <f t="shared" si="10"/>
        <v/>
      </c>
    </row>
    <row r="166" spans="1:7" x14ac:dyDescent="0.25">
      <c r="A166" t="str">
        <f>$A$167</f>
        <v>null</v>
      </c>
      <c r="B166" t="s">
        <v>39</v>
      </c>
      <c r="C166" t="s">
        <v>40</v>
      </c>
      <c r="D166">
        <v>8</v>
      </c>
      <c r="E166" s="44" t="str">
        <f>$A$23</f>
        <v>8</v>
      </c>
      <c r="G166" s="106" t="str">
        <f t="shared" si="10"/>
        <v/>
      </c>
    </row>
    <row r="167" spans="1:7" x14ac:dyDescent="0.25">
      <c r="A167" t="str">
        <f>IF($E167&gt;0,"go","null")</f>
        <v>null</v>
      </c>
      <c r="B167" t="s">
        <v>39</v>
      </c>
      <c r="C167" t="s">
        <v>41</v>
      </c>
      <c r="D167">
        <v>8</v>
      </c>
      <c r="E167" s="103">
        <f>$B$23</f>
        <v>0</v>
      </c>
      <c r="G167" s="106" t="str">
        <f t="shared" si="10"/>
        <v/>
      </c>
    </row>
    <row r="168" spans="1:7" x14ac:dyDescent="0.25">
      <c r="A168" t="str">
        <f>$A$167</f>
        <v>null</v>
      </c>
      <c r="B168" t="s">
        <v>39</v>
      </c>
      <c r="C168" t="s">
        <v>42</v>
      </c>
      <c r="D168">
        <v>8</v>
      </c>
      <c r="E168" t="s">
        <v>57</v>
      </c>
      <c r="F168" s="17"/>
      <c r="G168" s="106" t="str">
        <f t="shared" si="10"/>
        <v/>
      </c>
    </row>
    <row r="169" spans="1:7" x14ac:dyDescent="0.25">
      <c r="A169" t="str">
        <f t="shared" ref="A169:A178" si="11">$A$167</f>
        <v>null</v>
      </c>
      <c r="B169" t="s">
        <v>39</v>
      </c>
      <c r="C169" t="s">
        <v>43</v>
      </c>
      <c r="D169">
        <v>8</v>
      </c>
      <c r="E169" s="93">
        <f>$C$23</f>
        <v>0</v>
      </c>
      <c r="G169" s="106" t="str">
        <f t="shared" si="10"/>
        <v/>
      </c>
    </row>
    <row r="170" spans="1:7" x14ac:dyDescent="0.25">
      <c r="A170" t="str">
        <f t="shared" si="11"/>
        <v>null</v>
      </c>
      <c r="B170" t="s">
        <v>39</v>
      </c>
      <c r="C170" t="s">
        <v>44</v>
      </c>
      <c r="D170">
        <v>8</v>
      </c>
      <c r="E170" s="104">
        <f>$D$23</f>
        <v>0</v>
      </c>
      <c r="F170" s="17"/>
      <c r="G170" s="106" t="str">
        <f t="shared" si="10"/>
        <v/>
      </c>
    </row>
    <row r="171" spans="1:7" x14ac:dyDescent="0.25">
      <c r="A171" t="str">
        <f t="shared" si="11"/>
        <v>null</v>
      </c>
      <c r="B171" t="s">
        <v>39</v>
      </c>
      <c r="C171" t="s">
        <v>45</v>
      </c>
      <c r="D171">
        <v>8</v>
      </c>
      <c r="E171" s="14">
        <f>$F$23</f>
        <v>0</v>
      </c>
      <c r="G171" s="106" t="str">
        <f t="shared" si="10"/>
        <v/>
      </c>
    </row>
    <row r="172" spans="1:7" x14ac:dyDescent="0.25">
      <c r="A172" t="str">
        <f t="shared" si="11"/>
        <v>null</v>
      </c>
      <c r="B172" t="s">
        <v>39</v>
      </c>
      <c r="C172" t="s">
        <v>46</v>
      </c>
      <c r="D172">
        <v>8</v>
      </c>
      <c r="E172" s="14">
        <f>$G$23</f>
        <v>0</v>
      </c>
      <c r="G172" s="106" t="str">
        <f t="shared" si="10"/>
        <v/>
      </c>
    </row>
    <row r="173" spans="1:7" x14ac:dyDescent="0.25">
      <c r="A173" t="str">
        <f t="shared" si="11"/>
        <v>null</v>
      </c>
      <c r="B173" t="s">
        <v>39</v>
      </c>
      <c r="C173" s="20" t="s">
        <v>47</v>
      </c>
      <c r="D173">
        <v>8</v>
      </c>
      <c r="E173" s="14">
        <f>ROUND($J$23,2)</f>
        <v>0</v>
      </c>
      <c r="G173" s="106" t="str">
        <f t="shared" si="10"/>
        <v/>
      </c>
    </row>
    <row r="174" spans="1:7" x14ac:dyDescent="0.25">
      <c r="A174" t="str">
        <f t="shared" si="11"/>
        <v>null</v>
      </c>
      <c r="B174" t="s">
        <v>39</v>
      </c>
      <c r="C174" t="s">
        <v>48</v>
      </c>
      <c r="D174">
        <v>8</v>
      </c>
      <c r="E174" s="1">
        <f>IF($E$175=10,1000,9996)</f>
        <v>9996</v>
      </c>
      <c r="F174" s="17"/>
      <c r="G174" s="106" t="str">
        <f t="shared" si="10"/>
        <v/>
      </c>
    </row>
    <row r="175" spans="1:7" x14ac:dyDescent="0.25">
      <c r="A175" t="str">
        <f t="shared" si="11"/>
        <v>null</v>
      </c>
      <c r="B175" t="s">
        <v>39</v>
      </c>
      <c r="C175" t="s">
        <v>49</v>
      </c>
      <c r="D175">
        <v>8</v>
      </c>
      <c r="E175" s="102">
        <f>$H$23</f>
        <v>0</v>
      </c>
      <c r="F175" s="17"/>
      <c r="G175" s="106" t="str">
        <f t="shared" si="10"/>
        <v/>
      </c>
    </row>
    <row r="176" spans="1:7" x14ac:dyDescent="0.25">
      <c r="A176" t="str">
        <f t="shared" si="11"/>
        <v>null</v>
      </c>
      <c r="B176" t="s">
        <v>39</v>
      </c>
      <c r="C176" t="s">
        <v>50</v>
      </c>
      <c r="D176">
        <v>8</v>
      </c>
      <c r="E176" s="1">
        <v>18</v>
      </c>
      <c r="F176" s="17"/>
      <c r="G176" s="106" t="str">
        <f t="shared" si="10"/>
        <v/>
      </c>
    </row>
    <row r="177" spans="1:7" x14ac:dyDescent="0.25">
      <c r="A177" t="str">
        <f t="shared" si="11"/>
        <v>null</v>
      </c>
      <c r="B177" t="s">
        <v>39</v>
      </c>
      <c r="C177" s="20" t="s">
        <v>51</v>
      </c>
      <c r="D177">
        <v>8</v>
      </c>
      <c r="E177" s="14">
        <f>ROUND($I$23,2)</f>
        <v>0</v>
      </c>
      <c r="G177" s="106" t="str">
        <f t="shared" si="10"/>
        <v/>
      </c>
    </row>
    <row r="178" spans="1:7" x14ac:dyDescent="0.25">
      <c r="A178" t="str">
        <f t="shared" si="11"/>
        <v>null</v>
      </c>
      <c r="B178" t="s">
        <v>39</v>
      </c>
      <c r="C178" t="s">
        <v>187</v>
      </c>
      <c r="D178">
        <v>8</v>
      </c>
      <c r="E178" s="13">
        <f>$E$23</f>
        <v>0</v>
      </c>
      <c r="G178" s="106" t="str">
        <f t="shared" si="10"/>
        <v/>
      </c>
    </row>
    <row r="179" spans="1:7" x14ac:dyDescent="0.25">
      <c r="A179" t="str">
        <f>$A$180</f>
        <v>null</v>
      </c>
      <c r="B179" t="s">
        <v>39</v>
      </c>
      <c r="C179" t="s">
        <v>40</v>
      </c>
      <c r="D179">
        <v>9</v>
      </c>
      <c r="E179" s="44" t="str">
        <f>$A$24</f>
        <v>9</v>
      </c>
      <c r="G179" s="106" t="str">
        <f t="shared" si="10"/>
        <v/>
      </c>
    </row>
    <row r="180" spans="1:7" x14ac:dyDescent="0.25">
      <c r="A180" t="str">
        <f>IF($E180&gt;0,"go","null")</f>
        <v>null</v>
      </c>
      <c r="B180" t="s">
        <v>39</v>
      </c>
      <c r="C180" t="s">
        <v>41</v>
      </c>
      <c r="D180">
        <v>9</v>
      </c>
      <c r="E180" s="103">
        <f>$B$24</f>
        <v>0</v>
      </c>
      <c r="G180" s="106" t="str">
        <f t="shared" si="10"/>
        <v/>
      </c>
    </row>
    <row r="181" spans="1:7" x14ac:dyDescent="0.25">
      <c r="A181" t="str">
        <f>$A$180</f>
        <v>null</v>
      </c>
      <c r="B181" t="s">
        <v>39</v>
      </c>
      <c r="C181" t="s">
        <v>42</v>
      </c>
      <c r="D181">
        <v>9</v>
      </c>
      <c r="E181" t="s">
        <v>57</v>
      </c>
      <c r="F181" s="17"/>
      <c r="G181" s="106" t="str">
        <f t="shared" si="10"/>
        <v/>
      </c>
    </row>
    <row r="182" spans="1:7" x14ac:dyDescent="0.25">
      <c r="A182" t="str">
        <f t="shared" ref="A182:A191" si="12">$A$180</f>
        <v>null</v>
      </c>
      <c r="B182" t="s">
        <v>39</v>
      </c>
      <c r="C182" t="s">
        <v>43</v>
      </c>
      <c r="D182">
        <v>9</v>
      </c>
      <c r="E182" s="93">
        <f>$C$24</f>
        <v>0</v>
      </c>
      <c r="G182" s="106" t="str">
        <f t="shared" si="10"/>
        <v/>
      </c>
    </row>
    <row r="183" spans="1:7" x14ac:dyDescent="0.25">
      <c r="A183" t="str">
        <f t="shared" si="12"/>
        <v>null</v>
      </c>
      <c r="B183" t="s">
        <v>39</v>
      </c>
      <c r="C183" t="s">
        <v>44</v>
      </c>
      <c r="D183">
        <v>9</v>
      </c>
      <c r="E183" s="104">
        <f>$D$24</f>
        <v>0</v>
      </c>
      <c r="F183" s="17"/>
      <c r="G183" s="106" t="str">
        <f t="shared" si="10"/>
        <v/>
      </c>
    </row>
    <row r="184" spans="1:7" x14ac:dyDescent="0.25">
      <c r="A184" t="str">
        <f t="shared" si="12"/>
        <v>null</v>
      </c>
      <c r="B184" t="s">
        <v>39</v>
      </c>
      <c r="C184" t="s">
        <v>45</v>
      </c>
      <c r="D184">
        <v>9</v>
      </c>
      <c r="E184" s="14">
        <f>$F$24</f>
        <v>0</v>
      </c>
      <c r="G184" s="106" t="str">
        <f t="shared" si="10"/>
        <v/>
      </c>
    </row>
    <row r="185" spans="1:7" x14ac:dyDescent="0.25">
      <c r="A185" t="str">
        <f t="shared" si="12"/>
        <v>null</v>
      </c>
      <c r="B185" t="s">
        <v>39</v>
      </c>
      <c r="C185" t="s">
        <v>46</v>
      </c>
      <c r="D185">
        <v>9</v>
      </c>
      <c r="E185" s="14">
        <f>$G$24</f>
        <v>0</v>
      </c>
      <c r="G185" s="106" t="str">
        <f t="shared" si="10"/>
        <v/>
      </c>
    </row>
    <row r="186" spans="1:7" x14ac:dyDescent="0.25">
      <c r="A186" t="str">
        <f t="shared" si="12"/>
        <v>null</v>
      </c>
      <c r="B186" t="s">
        <v>39</v>
      </c>
      <c r="C186" s="20" t="s">
        <v>47</v>
      </c>
      <c r="D186">
        <v>9</v>
      </c>
      <c r="E186" s="14">
        <f>ROUND($J$24,2)</f>
        <v>0</v>
      </c>
      <c r="G186" s="106" t="str">
        <f t="shared" si="10"/>
        <v/>
      </c>
    </row>
    <row r="187" spans="1:7" x14ac:dyDescent="0.25">
      <c r="A187" t="str">
        <f t="shared" si="12"/>
        <v>null</v>
      </c>
      <c r="B187" t="s">
        <v>39</v>
      </c>
      <c r="C187" t="s">
        <v>48</v>
      </c>
      <c r="D187">
        <v>9</v>
      </c>
      <c r="E187" s="1">
        <f>IF($E$188=10,1000,9996)</f>
        <v>9996</v>
      </c>
      <c r="F187" s="17"/>
      <c r="G187" s="106" t="str">
        <f t="shared" si="10"/>
        <v/>
      </c>
    </row>
    <row r="188" spans="1:7" x14ac:dyDescent="0.25">
      <c r="A188" t="str">
        <f t="shared" si="12"/>
        <v>null</v>
      </c>
      <c r="B188" t="s">
        <v>39</v>
      </c>
      <c r="C188" t="s">
        <v>49</v>
      </c>
      <c r="D188">
        <v>9</v>
      </c>
      <c r="E188" s="102">
        <f>$H$24</f>
        <v>0</v>
      </c>
      <c r="F188" s="17"/>
      <c r="G188" s="106" t="str">
        <f t="shared" si="10"/>
        <v/>
      </c>
    </row>
    <row r="189" spans="1:7" x14ac:dyDescent="0.25">
      <c r="A189" t="str">
        <f t="shared" si="12"/>
        <v>null</v>
      </c>
      <c r="B189" t="s">
        <v>39</v>
      </c>
      <c r="C189" t="s">
        <v>50</v>
      </c>
      <c r="D189">
        <v>9</v>
      </c>
      <c r="E189" s="1">
        <v>18</v>
      </c>
      <c r="F189" s="17"/>
      <c r="G189" s="106" t="str">
        <f t="shared" si="10"/>
        <v/>
      </c>
    </row>
    <row r="190" spans="1:7" x14ac:dyDescent="0.25">
      <c r="A190" t="str">
        <f t="shared" si="12"/>
        <v>null</v>
      </c>
      <c r="B190" t="s">
        <v>39</v>
      </c>
      <c r="C190" s="20" t="s">
        <v>51</v>
      </c>
      <c r="D190">
        <v>9</v>
      </c>
      <c r="E190" s="14">
        <f>ROUND($I$24,2)</f>
        <v>0</v>
      </c>
      <c r="G190" s="106" t="str">
        <f t="shared" si="10"/>
        <v/>
      </c>
    </row>
    <row r="191" spans="1:7" x14ac:dyDescent="0.25">
      <c r="A191" t="str">
        <f t="shared" si="12"/>
        <v>null</v>
      </c>
      <c r="B191" t="s">
        <v>39</v>
      </c>
      <c r="C191" t="s">
        <v>187</v>
      </c>
      <c r="D191">
        <v>9</v>
      </c>
      <c r="E191" s="13">
        <f>$E$24</f>
        <v>0</v>
      </c>
      <c r="G191" s="106" t="str">
        <f t="shared" si="10"/>
        <v/>
      </c>
    </row>
    <row r="192" spans="1:7" x14ac:dyDescent="0.25">
      <c r="A192" t="str">
        <f>$A$193</f>
        <v>null</v>
      </c>
      <c r="B192" t="s">
        <v>39</v>
      </c>
      <c r="C192" t="s">
        <v>40</v>
      </c>
      <c r="D192">
        <v>10</v>
      </c>
      <c r="E192" s="44" t="str">
        <f>$A$25</f>
        <v>10</v>
      </c>
      <c r="G192" s="106" t="str">
        <f t="shared" si="10"/>
        <v/>
      </c>
    </row>
    <row r="193" spans="1:7" x14ac:dyDescent="0.25">
      <c r="A193" t="str">
        <f>IF($E193&gt;0,"go","null")</f>
        <v>null</v>
      </c>
      <c r="B193" t="s">
        <v>39</v>
      </c>
      <c r="C193" t="s">
        <v>41</v>
      </c>
      <c r="D193">
        <v>10</v>
      </c>
      <c r="E193" s="103">
        <f>$B$25</f>
        <v>0</v>
      </c>
      <c r="G193" s="106" t="str">
        <f t="shared" si="10"/>
        <v/>
      </c>
    </row>
    <row r="194" spans="1:7" x14ac:dyDescent="0.25">
      <c r="A194" t="str">
        <f>$A$193</f>
        <v>null</v>
      </c>
      <c r="B194" t="s">
        <v>39</v>
      </c>
      <c r="C194" t="s">
        <v>42</v>
      </c>
      <c r="D194">
        <v>10</v>
      </c>
      <c r="E194" t="s">
        <v>57</v>
      </c>
      <c r="F194" s="17"/>
      <c r="G194" s="106" t="str">
        <f t="shared" si="10"/>
        <v/>
      </c>
    </row>
    <row r="195" spans="1:7" x14ac:dyDescent="0.25">
      <c r="A195" t="str">
        <f t="shared" ref="A195:A204" si="13">$A$193</f>
        <v>null</v>
      </c>
      <c r="B195" t="s">
        <v>39</v>
      </c>
      <c r="C195" t="s">
        <v>43</v>
      </c>
      <c r="D195">
        <v>10</v>
      </c>
      <c r="E195" s="93">
        <f>$C$25</f>
        <v>0</v>
      </c>
      <c r="G195" s="106" t="str">
        <f t="shared" si="10"/>
        <v/>
      </c>
    </row>
    <row r="196" spans="1:7" x14ac:dyDescent="0.25">
      <c r="A196" t="str">
        <f t="shared" si="13"/>
        <v>null</v>
      </c>
      <c r="B196" t="s">
        <v>39</v>
      </c>
      <c r="C196" t="s">
        <v>44</v>
      </c>
      <c r="D196">
        <v>10</v>
      </c>
      <c r="E196" s="104">
        <f>$D$25</f>
        <v>0</v>
      </c>
      <c r="F196" s="17"/>
      <c r="G196" s="106" t="str">
        <f t="shared" si="10"/>
        <v/>
      </c>
    </row>
    <row r="197" spans="1:7" x14ac:dyDescent="0.25">
      <c r="A197" t="str">
        <f t="shared" si="13"/>
        <v>null</v>
      </c>
      <c r="B197" t="s">
        <v>39</v>
      </c>
      <c r="C197" t="s">
        <v>45</v>
      </c>
      <c r="D197">
        <v>10</v>
      </c>
      <c r="E197" s="14">
        <f>$F$25</f>
        <v>0</v>
      </c>
      <c r="G197" s="106" t="str">
        <f t="shared" si="10"/>
        <v/>
      </c>
    </row>
    <row r="198" spans="1:7" x14ac:dyDescent="0.25">
      <c r="A198" t="str">
        <f t="shared" si="13"/>
        <v>null</v>
      </c>
      <c r="B198" t="s">
        <v>39</v>
      </c>
      <c r="C198" t="s">
        <v>46</v>
      </c>
      <c r="D198">
        <v>10</v>
      </c>
      <c r="E198" s="14">
        <f>$G$25</f>
        <v>0</v>
      </c>
      <c r="G198" s="106" t="str">
        <f t="shared" si="10"/>
        <v/>
      </c>
    </row>
    <row r="199" spans="1:7" x14ac:dyDescent="0.25">
      <c r="A199" t="str">
        <f t="shared" si="13"/>
        <v>null</v>
      </c>
      <c r="B199" t="s">
        <v>39</v>
      </c>
      <c r="C199" s="20" t="s">
        <v>47</v>
      </c>
      <c r="D199">
        <v>10</v>
      </c>
      <c r="E199" s="14">
        <f>ROUND($J$25,2)</f>
        <v>0</v>
      </c>
      <c r="G199" s="106" t="str">
        <f t="shared" si="10"/>
        <v/>
      </c>
    </row>
    <row r="200" spans="1:7" x14ac:dyDescent="0.25">
      <c r="A200" t="str">
        <f t="shared" si="13"/>
        <v>null</v>
      </c>
      <c r="B200" t="s">
        <v>39</v>
      </c>
      <c r="C200" t="s">
        <v>48</v>
      </c>
      <c r="D200">
        <v>10</v>
      </c>
      <c r="E200" s="1">
        <f ca="1">IF($E$200=10,1000,9996)</f>
        <v>0</v>
      </c>
      <c r="F200" s="17"/>
      <c r="G200" s="106" t="str">
        <f t="shared" si="10"/>
        <v/>
      </c>
    </row>
    <row r="201" spans="1:7" x14ac:dyDescent="0.25">
      <c r="A201" t="str">
        <f t="shared" si="13"/>
        <v>null</v>
      </c>
      <c r="B201" t="s">
        <v>39</v>
      </c>
      <c r="C201" t="s">
        <v>49</v>
      </c>
      <c r="D201">
        <v>10</v>
      </c>
      <c r="E201" s="102">
        <f>$H$25</f>
        <v>0</v>
      </c>
      <c r="F201" s="17"/>
      <c r="G201" s="106" t="str">
        <f t="shared" si="10"/>
        <v/>
      </c>
    </row>
    <row r="202" spans="1:7" x14ac:dyDescent="0.25">
      <c r="A202" t="str">
        <f t="shared" si="13"/>
        <v>null</v>
      </c>
      <c r="B202" t="s">
        <v>39</v>
      </c>
      <c r="C202" t="s">
        <v>50</v>
      </c>
      <c r="D202">
        <v>10</v>
      </c>
      <c r="E202" s="1">
        <v>18</v>
      </c>
      <c r="F202" s="17"/>
      <c r="G202" s="106" t="str">
        <f t="shared" si="10"/>
        <v/>
      </c>
    </row>
    <row r="203" spans="1:7" x14ac:dyDescent="0.25">
      <c r="A203" t="str">
        <f t="shared" si="13"/>
        <v>null</v>
      </c>
      <c r="B203" t="s">
        <v>39</v>
      </c>
      <c r="C203" s="20" t="s">
        <v>51</v>
      </c>
      <c r="D203">
        <v>10</v>
      </c>
      <c r="E203" s="14">
        <f>ROUND($I$25,2)</f>
        <v>0</v>
      </c>
      <c r="G203" s="106" t="str">
        <f t="shared" si="10"/>
        <v/>
      </c>
    </row>
    <row r="204" spans="1:7" x14ac:dyDescent="0.25">
      <c r="A204" t="str">
        <f t="shared" si="13"/>
        <v>null</v>
      </c>
      <c r="B204" t="s">
        <v>39</v>
      </c>
      <c r="C204" t="s">
        <v>187</v>
      </c>
      <c r="D204">
        <v>10</v>
      </c>
      <c r="E204" s="13">
        <f>$E$25</f>
        <v>0</v>
      </c>
      <c r="G204" s="106" t="str">
        <f t="shared" si="10"/>
        <v/>
      </c>
    </row>
    <row r="205" spans="1:7" x14ac:dyDescent="0.25">
      <c r="A205" t="str">
        <f>IF($E$209&gt;0,"go","null")</f>
        <v>null</v>
      </c>
      <c r="B205" t="s">
        <v>188</v>
      </c>
      <c r="C205" t="s">
        <v>189</v>
      </c>
      <c r="D205">
        <v>1</v>
      </c>
      <c r="E205" s="1">
        <v>1</v>
      </c>
      <c r="F205" s="17"/>
      <c r="G205" s="106" t="str">
        <f t="shared" si="10"/>
        <v/>
      </c>
    </row>
    <row r="206" spans="1:7" x14ac:dyDescent="0.25">
      <c r="A206" t="str">
        <f>$A$205</f>
        <v>null</v>
      </c>
      <c r="B206" t="s">
        <v>188</v>
      </c>
      <c r="C206" t="s">
        <v>190</v>
      </c>
      <c r="D206">
        <v>1</v>
      </c>
      <c r="E206" s="1">
        <f>IF($K$3&gt;0,1,0)</f>
        <v>0</v>
      </c>
      <c r="F206" s="17"/>
      <c r="G206" s="106" t="str">
        <f t="shared" si="10"/>
        <v/>
      </c>
    </row>
    <row r="207" spans="1:7" x14ac:dyDescent="0.25">
      <c r="A207" t="str">
        <f t="shared" ref="A207:A210" si="14">$A$205</f>
        <v>null</v>
      </c>
      <c r="B207" t="s">
        <v>188</v>
      </c>
      <c r="C207" t="s">
        <v>191</v>
      </c>
      <c r="D207">
        <v>1</v>
      </c>
      <c r="E207" s="14">
        <f>$K$2</f>
        <v>0</v>
      </c>
      <c r="G207" s="106" t="str">
        <f t="shared" si="10"/>
        <v/>
      </c>
    </row>
    <row r="208" spans="1:7" x14ac:dyDescent="0.25">
      <c r="A208" t="str">
        <f t="shared" si="14"/>
        <v>null</v>
      </c>
      <c r="B208" t="s">
        <v>188</v>
      </c>
      <c r="C208" t="s">
        <v>192</v>
      </c>
      <c r="D208">
        <v>1</v>
      </c>
      <c r="E208" s="14">
        <v>1</v>
      </c>
      <c r="G208" s="106" t="str">
        <f t="shared" si="10"/>
        <v/>
      </c>
    </row>
    <row r="209" spans="1:7" x14ac:dyDescent="0.25">
      <c r="A209" t="str">
        <f t="shared" si="14"/>
        <v>null</v>
      </c>
      <c r="B209" t="s">
        <v>188</v>
      </c>
      <c r="C209" t="s">
        <v>193</v>
      </c>
      <c r="D209">
        <v>1</v>
      </c>
      <c r="E209" s="14">
        <f>$K$3</f>
        <v>0</v>
      </c>
      <c r="G209" s="106" t="str">
        <f t="shared" si="10"/>
        <v/>
      </c>
    </row>
    <row r="210" spans="1:7" x14ac:dyDescent="0.25">
      <c r="A210" t="str">
        <f t="shared" si="14"/>
        <v>null</v>
      </c>
      <c r="B210" t="s">
        <v>188</v>
      </c>
      <c r="C210" t="s">
        <v>194</v>
      </c>
      <c r="D210">
        <v>1</v>
      </c>
      <c r="E210" s="14">
        <f>$E$209</f>
        <v>0</v>
      </c>
      <c r="G210" s="106" t="str">
        <f t="shared" si="10"/>
        <v/>
      </c>
    </row>
    <row r="211" spans="1:7" x14ac:dyDescent="0.25">
      <c r="A211" t="str">
        <f t="shared" ref="A211" si="15">$A$214</f>
        <v>null</v>
      </c>
      <c r="B211" t="s">
        <v>381</v>
      </c>
      <c r="C211" t="s">
        <v>377</v>
      </c>
      <c r="D211">
        <v>1</v>
      </c>
      <c r="E211">
        <v>1</v>
      </c>
      <c r="G211" s="106" t="str">
        <f t="shared" si="10"/>
        <v/>
      </c>
    </row>
    <row r="212" spans="1:7" x14ac:dyDescent="0.25">
      <c r="A212" t="str">
        <f>$A$214</f>
        <v>null</v>
      </c>
      <c r="B212" t="s">
        <v>381</v>
      </c>
      <c r="C212" t="s">
        <v>378</v>
      </c>
      <c r="D212">
        <v>1</v>
      </c>
      <c r="E212" t="str">
        <f>TEXT($C$9,"00")</f>
        <v>00</v>
      </c>
      <c r="G212" s="106" t="str">
        <f t="shared" si="10"/>
        <v/>
      </c>
    </row>
    <row r="213" spans="1:7" x14ac:dyDescent="0.25">
      <c r="A213" t="str">
        <f>$A$214</f>
        <v>null</v>
      </c>
      <c r="B213" t="s">
        <v>381</v>
      </c>
      <c r="C213" t="s">
        <v>379</v>
      </c>
      <c r="D213">
        <v>1</v>
      </c>
      <c r="E213">
        <f>$D$9</f>
        <v>0</v>
      </c>
      <c r="G213" s="106" t="str">
        <f t="shared" si="10"/>
        <v/>
      </c>
    </row>
    <row r="214" spans="1:7" x14ac:dyDescent="0.25">
      <c r="A214" t="str">
        <f>IF($E$214&gt;0,"go","null")</f>
        <v>null</v>
      </c>
      <c r="B214" t="s">
        <v>381</v>
      </c>
      <c r="C214" t="s">
        <v>380</v>
      </c>
      <c r="D214">
        <v>1</v>
      </c>
      <c r="E214">
        <f>$E$9</f>
        <v>0</v>
      </c>
      <c r="G214" s="106" t="str">
        <f>IF($A214="go",CONCATENATE($B214,";",$C214,";",$D214,";",TEXT($E214,"00000000")),"")</f>
        <v/>
      </c>
    </row>
    <row r="215" spans="1:7" x14ac:dyDescent="0.25">
      <c r="A215" t="str">
        <f>$A$217</f>
        <v>null</v>
      </c>
      <c r="B215" t="s">
        <v>198</v>
      </c>
      <c r="C215" t="s">
        <v>195</v>
      </c>
      <c r="D215">
        <v>1</v>
      </c>
      <c r="E215" s="105" t="s">
        <v>101</v>
      </c>
      <c r="G215" s="106" t="str">
        <f t="shared" si="10"/>
        <v/>
      </c>
    </row>
    <row r="216" spans="1:7" x14ac:dyDescent="0.25">
      <c r="A216" s="106" t="str">
        <f>$A$217</f>
        <v>null</v>
      </c>
      <c r="B216" t="s">
        <v>198</v>
      </c>
      <c r="C216" t="s">
        <v>196</v>
      </c>
      <c r="D216">
        <v>1</v>
      </c>
      <c r="E216" s="105" t="s">
        <v>101</v>
      </c>
      <c r="G216" s="106" t="str">
        <f t="shared" si="10"/>
        <v/>
      </c>
    </row>
    <row r="217" spans="1:7" x14ac:dyDescent="0.25">
      <c r="A217" s="106" t="str">
        <f>IF($E$217="VACIO","null","go")</f>
        <v>null</v>
      </c>
      <c r="B217" t="s">
        <v>198</v>
      </c>
      <c r="C217" t="s">
        <v>197</v>
      </c>
      <c r="D217">
        <v>1</v>
      </c>
      <c r="E217" s="106" t="str">
        <f>IF(ISBLANK($H$8),"VACIO",$H$8)</f>
        <v>VACIO</v>
      </c>
      <c r="G217" s="106" t="str">
        <f t="shared" si="10"/>
        <v/>
      </c>
    </row>
    <row r="218" spans="1:7" x14ac:dyDescent="0.25">
      <c r="A218" s="106" t="str">
        <f>$A$220</f>
        <v>null</v>
      </c>
      <c r="B218" t="s">
        <v>198</v>
      </c>
      <c r="C218" t="s">
        <v>195</v>
      </c>
      <c r="D218">
        <v>2</v>
      </c>
      <c r="E218" s="105" t="s">
        <v>101</v>
      </c>
      <c r="G218" s="106" t="str">
        <f t="shared" si="10"/>
        <v/>
      </c>
    </row>
    <row r="219" spans="1:7" x14ac:dyDescent="0.25">
      <c r="A219" s="106" t="str">
        <f>$A$220</f>
        <v>null</v>
      </c>
      <c r="B219" t="s">
        <v>198</v>
      </c>
      <c r="C219" t="s">
        <v>196</v>
      </c>
      <c r="D219">
        <v>2</v>
      </c>
      <c r="E219" s="105" t="s">
        <v>382</v>
      </c>
      <c r="G219" s="106" t="str">
        <f t="shared" si="10"/>
        <v/>
      </c>
    </row>
    <row r="220" spans="1:7" x14ac:dyDescent="0.25">
      <c r="A220" s="106" t="str">
        <f>IF($E$220="VACIO","null","go")</f>
        <v>null</v>
      </c>
      <c r="B220" t="s">
        <v>198</v>
      </c>
      <c r="C220" t="s">
        <v>197</v>
      </c>
      <c r="D220">
        <v>2</v>
      </c>
      <c r="E220" s="106" t="str">
        <f>IF(ISBLANK($H$9),"VACIO",$H$9)</f>
        <v>VACIO</v>
      </c>
      <c r="G220" s="106" t="str">
        <f t="shared" si="10"/>
        <v/>
      </c>
    </row>
    <row r="221" spans="1:7" x14ac:dyDescent="0.25">
      <c r="A221" s="106" t="str">
        <f>$A$223</f>
        <v>null</v>
      </c>
      <c r="B221" t="s">
        <v>198</v>
      </c>
      <c r="C221" t="s">
        <v>195</v>
      </c>
      <c r="D221">
        <v>3</v>
      </c>
      <c r="E221" s="105" t="s">
        <v>101</v>
      </c>
      <c r="G221" s="106" t="str">
        <f t="shared" ref="G221:G284" si="16">IF($A221="go",CONCATENATE($B221,";",$C221,";",$D221,";",$E221),"")</f>
        <v/>
      </c>
    </row>
    <row r="222" spans="1:7" x14ac:dyDescent="0.25">
      <c r="A222" s="106" t="str">
        <f>$A$223</f>
        <v>null</v>
      </c>
      <c r="B222" t="s">
        <v>198</v>
      </c>
      <c r="C222" t="s">
        <v>196</v>
      </c>
      <c r="D222">
        <v>3</v>
      </c>
      <c r="E222" s="105" t="s">
        <v>38</v>
      </c>
      <c r="G222" s="106" t="str">
        <f t="shared" si="16"/>
        <v/>
      </c>
    </row>
    <row r="223" spans="1:7" x14ac:dyDescent="0.25">
      <c r="A223" s="106" t="str">
        <f>IF($E$223="VACIO","null","go")</f>
        <v>null</v>
      </c>
      <c r="B223" t="s">
        <v>198</v>
      </c>
      <c r="C223" t="s">
        <v>197</v>
      </c>
      <c r="D223">
        <v>3</v>
      </c>
      <c r="E223" s="106" t="str">
        <f>IF(ISBLANK($H$10),"VACIO",$H$10)</f>
        <v>VACIO</v>
      </c>
      <c r="G223" s="106" t="str">
        <f t="shared" si="16"/>
        <v/>
      </c>
    </row>
    <row r="224" spans="1:7" x14ac:dyDescent="0.25">
      <c r="A224" s="106" t="str">
        <f>$A$226</f>
        <v>null</v>
      </c>
      <c r="B224" t="s">
        <v>198</v>
      </c>
      <c r="C224" t="s">
        <v>195</v>
      </c>
      <c r="D224">
        <v>4</v>
      </c>
      <c r="E224" s="105" t="s">
        <v>101</v>
      </c>
      <c r="G224" s="106" t="str">
        <f t="shared" si="16"/>
        <v/>
      </c>
    </row>
    <row r="225" spans="1:7" x14ac:dyDescent="0.25">
      <c r="A225" s="106" t="str">
        <f>$A$226</f>
        <v>null</v>
      </c>
      <c r="B225" t="s">
        <v>198</v>
      </c>
      <c r="C225" t="s">
        <v>196</v>
      </c>
      <c r="D225">
        <v>4</v>
      </c>
      <c r="E225" s="105" t="s">
        <v>383</v>
      </c>
      <c r="G225" s="106" t="str">
        <f t="shared" si="16"/>
        <v/>
      </c>
    </row>
    <row r="226" spans="1:7" x14ac:dyDescent="0.25">
      <c r="A226" s="106" t="str">
        <f>IF($E$226="VACIO","null","go")</f>
        <v>null</v>
      </c>
      <c r="B226" t="s">
        <v>198</v>
      </c>
      <c r="C226" t="s">
        <v>197</v>
      </c>
      <c r="D226">
        <v>4</v>
      </c>
      <c r="E226" s="106" t="str">
        <f>IF(ISBLANK($H$11),"VACIO",$H$11)</f>
        <v>VACIO</v>
      </c>
      <c r="G226" s="106" t="str">
        <f t="shared" si="16"/>
        <v/>
      </c>
    </row>
    <row r="227" spans="1:7" x14ac:dyDescent="0.25">
      <c r="A227" s="106" t="str">
        <f>$A$230</f>
        <v>go</v>
      </c>
      <c r="B227" t="s">
        <v>198</v>
      </c>
      <c r="C227" t="s">
        <v>195</v>
      </c>
      <c r="D227">
        <v>5</v>
      </c>
      <c r="E227" s="105" t="s">
        <v>382</v>
      </c>
      <c r="G227" s="106" t="str">
        <f t="shared" si="16"/>
        <v>E;TipoAdicSunat;5;02</v>
      </c>
    </row>
    <row r="228" spans="1:7" x14ac:dyDescent="0.25">
      <c r="A228" s="106" t="str">
        <f>$A$230</f>
        <v>go</v>
      </c>
      <c r="B228" t="s">
        <v>198</v>
      </c>
      <c r="C228" t="s">
        <v>384</v>
      </c>
      <c r="D228">
        <v>5</v>
      </c>
      <c r="E228" s="105" t="s">
        <v>101</v>
      </c>
      <c r="G228" s="106" t="str">
        <f t="shared" si="16"/>
        <v>E;NmrLineasDetalle;5;01</v>
      </c>
    </row>
    <row r="229" spans="1:7" x14ac:dyDescent="0.25">
      <c r="A229" s="106" t="str">
        <f>$A$230</f>
        <v>go</v>
      </c>
      <c r="B229" t="s">
        <v>198</v>
      </c>
      <c r="C229" t="s">
        <v>196</v>
      </c>
      <c r="D229">
        <v>5</v>
      </c>
      <c r="E229" s="105">
        <v>11</v>
      </c>
      <c r="G229" s="106" t="str">
        <f t="shared" si="16"/>
        <v>E;NmrLineasAdicSunat;5;11</v>
      </c>
    </row>
    <row r="230" spans="1:7" x14ac:dyDescent="0.25">
      <c r="A230" s="106" t="str">
        <f>IF($E$230="VACIO","null","go")</f>
        <v>go</v>
      </c>
      <c r="B230" t="s">
        <v>198</v>
      </c>
      <c r="C230" t="s">
        <v>197</v>
      </c>
      <c r="D230">
        <v>5</v>
      </c>
      <c r="E230" s="106" t="str">
        <f>IF(ISBLANK($M$16),"VACIO",$M$16)</f>
        <v xml:space="preserve">no </v>
      </c>
      <c r="G230" s="106" t="str">
        <f t="shared" si="16"/>
        <v xml:space="preserve">E;DescripcionAdicsunat;5;no </v>
      </c>
    </row>
    <row r="231" spans="1:7" x14ac:dyDescent="0.25">
      <c r="A231" s="106" t="str">
        <f t="shared" ref="A231:A232" si="17">$A$234</f>
        <v>go</v>
      </c>
      <c r="B231" t="s">
        <v>198</v>
      </c>
      <c r="C231" t="s">
        <v>195</v>
      </c>
      <c r="D231">
        <v>6</v>
      </c>
      <c r="E231" s="105" t="s">
        <v>382</v>
      </c>
      <c r="G231" s="106" t="str">
        <f t="shared" si="16"/>
        <v>E;TipoAdicSunat;6;02</v>
      </c>
    </row>
    <row r="232" spans="1:7" x14ac:dyDescent="0.25">
      <c r="A232" s="106" t="str">
        <f t="shared" si="17"/>
        <v>go</v>
      </c>
      <c r="B232" t="s">
        <v>198</v>
      </c>
      <c r="C232" t="s">
        <v>384</v>
      </c>
      <c r="D232">
        <v>6</v>
      </c>
      <c r="E232" s="105" t="s">
        <v>101</v>
      </c>
      <c r="G232" s="106" t="str">
        <f t="shared" si="16"/>
        <v>E;NmrLineasDetalle;6;01</v>
      </c>
    </row>
    <row r="233" spans="1:7" x14ac:dyDescent="0.25">
      <c r="A233" s="106" t="str">
        <f>$A$234</f>
        <v>go</v>
      </c>
      <c r="B233" t="s">
        <v>198</v>
      </c>
      <c r="C233" t="s">
        <v>196</v>
      </c>
      <c r="D233">
        <v>6</v>
      </c>
      <c r="E233" s="105">
        <v>12</v>
      </c>
      <c r="G233" s="106" t="str">
        <f t="shared" si="16"/>
        <v>E;NmrLineasAdicSunat;6;12</v>
      </c>
    </row>
    <row r="234" spans="1:7" x14ac:dyDescent="0.25">
      <c r="A234" s="106" t="str">
        <f>IF($E$234="VACIO","null","go")</f>
        <v>go</v>
      </c>
      <c r="B234" t="s">
        <v>198</v>
      </c>
      <c r="C234" t="s">
        <v>197</v>
      </c>
      <c r="D234">
        <v>6</v>
      </c>
      <c r="E234" s="106" t="str">
        <f>IF(ISBLANK($N$16),"VACIO",$N$16)</f>
        <v>no</v>
      </c>
      <c r="G234" s="106" t="str">
        <f t="shared" si="16"/>
        <v>E;DescripcionAdicsunat;6;no</v>
      </c>
    </row>
    <row r="235" spans="1:7" x14ac:dyDescent="0.25">
      <c r="A235" s="106" t="str">
        <f t="shared" ref="A235:A236" si="18">$A$238</f>
        <v>null</v>
      </c>
      <c r="B235" t="s">
        <v>198</v>
      </c>
      <c r="C235" t="s">
        <v>195</v>
      </c>
      <c r="D235">
        <v>7</v>
      </c>
      <c r="E235" s="105" t="s">
        <v>382</v>
      </c>
      <c r="G235" s="106" t="str">
        <f t="shared" si="16"/>
        <v/>
      </c>
    </row>
    <row r="236" spans="1:7" x14ac:dyDescent="0.25">
      <c r="A236" s="106" t="str">
        <f t="shared" si="18"/>
        <v>null</v>
      </c>
      <c r="B236" t="s">
        <v>198</v>
      </c>
      <c r="C236" t="s">
        <v>384</v>
      </c>
      <c r="D236">
        <v>7</v>
      </c>
      <c r="E236" s="105" t="s">
        <v>101</v>
      </c>
      <c r="G236" s="106" t="str">
        <f t="shared" si="16"/>
        <v/>
      </c>
    </row>
    <row r="237" spans="1:7" x14ac:dyDescent="0.25">
      <c r="A237" s="106" t="str">
        <f>$A$238</f>
        <v>null</v>
      </c>
      <c r="B237" t="s">
        <v>198</v>
      </c>
      <c r="C237" t="s">
        <v>196</v>
      </c>
      <c r="D237">
        <v>7</v>
      </c>
      <c r="E237" s="105">
        <v>21</v>
      </c>
      <c r="G237" s="106" t="str">
        <f t="shared" si="16"/>
        <v/>
      </c>
    </row>
    <row r="238" spans="1:7" x14ac:dyDescent="0.25">
      <c r="A238" s="106" t="str">
        <f>IF($E$238="VACIO","null","go")</f>
        <v>null</v>
      </c>
      <c r="B238" t="s">
        <v>198</v>
      </c>
      <c r="C238" t="s">
        <v>197</v>
      </c>
      <c r="D238">
        <v>7</v>
      </c>
      <c r="E238" s="106" t="str">
        <f>IF(ISBLANK($M$17),"VACIO",$M$17)</f>
        <v>VACIO</v>
      </c>
      <c r="G238" s="106" t="str">
        <f t="shared" si="16"/>
        <v/>
      </c>
    </row>
    <row r="239" spans="1:7" x14ac:dyDescent="0.25">
      <c r="A239" s="106" t="str">
        <f t="shared" ref="A239:A240" si="19">$A$242</f>
        <v>null</v>
      </c>
      <c r="B239" t="s">
        <v>198</v>
      </c>
      <c r="C239" t="s">
        <v>195</v>
      </c>
      <c r="D239">
        <v>8</v>
      </c>
      <c r="E239" s="105" t="s">
        <v>382</v>
      </c>
      <c r="G239" s="106" t="str">
        <f t="shared" si="16"/>
        <v/>
      </c>
    </row>
    <row r="240" spans="1:7" x14ac:dyDescent="0.25">
      <c r="A240" s="106" t="str">
        <f t="shared" si="19"/>
        <v>null</v>
      </c>
      <c r="B240" t="s">
        <v>198</v>
      </c>
      <c r="C240" t="s">
        <v>384</v>
      </c>
      <c r="D240">
        <v>8</v>
      </c>
      <c r="E240" s="105" t="s">
        <v>101</v>
      </c>
      <c r="G240" s="106" t="str">
        <f t="shared" si="16"/>
        <v/>
      </c>
    </row>
    <row r="241" spans="1:7" x14ac:dyDescent="0.25">
      <c r="A241" s="106" t="str">
        <f>$A$242</f>
        <v>null</v>
      </c>
      <c r="B241" t="s">
        <v>198</v>
      </c>
      <c r="C241" t="s">
        <v>196</v>
      </c>
      <c r="D241">
        <v>8</v>
      </c>
      <c r="E241" s="105">
        <v>22</v>
      </c>
      <c r="G241" s="106" t="str">
        <f t="shared" si="16"/>
        <v/>
      </c>
    </row>
    <row r="242" spans="1:7" x14ac:dyDescent="0.25">
      <c r="A242" s="106" t="str">
        <f>IF($E$242="VACIO","null","go")</f>
        <v>null</v>
      </c>
      <c r="B242" t="s">
        <v>198</v>
      </c>
      <c r="C242" t="s">
        <v>197</v>
      </c>
      <c r="D242">
        <v>8</v>
      </c>
      <c r="E242" s="106" t="str">
        <f>IF(ISBLANK($N$17),"VACIO",$N$17)</f>
        <v>VACIO</v>
      </c>
      <c r="G242" s="106" t="str">
        <f t="shared" si="16"/>
        <v/>
      </c>
    </row>
    <row r="243" spans="1:7" x14ac:dyDescent="0.25">
      <c r="A243" s="106" t="str">
        <f t="shared" ref="A243:A244" si="20">$A$246</f>
        <v>null</v>
      </c>
      <c r="B243" t="s">
        <v>198</v>
      </c>
      <c r="C243" t="s">
        <v>195</v>
      </c>
      <c r="D243">
        <v>9</v>
      </c>
      <c r="E243" s="105" t="s">
        <v>382</v>
      </c>
      <c r="G243" s="106" t="str">
        <f t="shared" si="16"/>
        <v/>
      </c>
    </row>
    <row r="244" spans="1:7" x14ac:dyDescent="0.25">
      <c r="A244" s="106" t="str">
        <f t="shared" si="20"/>
        <v>null</v>
      </c>
      <c r="B244" t="s">
        <v>198</v>
      </c>
      <c r="C244" t="s">
        <v>384</v>
      </c>
      <c r="D244">
        <v>9</v>
      </c>
      <c r="E244" s="105" t="s">
        <v>101</v>
      </c>
      <c r="G244" s="106" t="str">
        <f t="shared" si="16"/>
        <v/>
      </c>
    </row>
    <row r="245" spans="1:7" x14ac:dyDescent="0.25">
      <c r="A245" s="106" t="str">
        <f>$A$246</f>
        <v>null</v>
      </c>
      <c r="B245" t="s">
        <v>198</v>
      </c>
      <c r="C245" t="s">
        <v>196</v>
      </c>
      <c r="D245">
        <v>9</v>
      </c>
      <c r="E245" s="105">
        <v>31</v>
      </c>
      <c r="G245" s="106" t="str">
        <f t="shared" si="16"/>
        <v/>
      </c>
    </row>
    <row r="246" spans="1:7" x14ac:dyDescent="0.25">
      <c r="A246" s="106" t="str">
        <f>IF($E$246="VACIO","null","go")</f>
        <v>null</v>
      </c>
      <c r="B246" t="s">
        <v>198</v>
      </c>
      <c r="C246" t="s">
        <v>197</v>
      </c>
      <c r="D246">
        <v>9</v>
      </c>
      <c r="E246" s="106" t="str">
        <f>IF(ISBLANK($M$18),"VACIO",$M$18)</f>
        <v>VACIO</v>
      </c>
      <c r="G246" s="106" t="str">
        <f t="shared" si="16"/>
        <v/>
      </c>
    </row>
    <row r="247" spans="1:7" x14ac:dyDescent="0.25">
      <c r="A247" s="106" t="str">
        <f t="shared" ref="A247:A248" si="21">$A$250</f>
        <v>null</v>
      </c>
      <c r="B247" t="s">
        <v>198</v>
      </c>
      <c r="C247" t="s">
        <v>195</v>
      </c>
      <c r="D247">
        <v>10</v>
      </c>
      <c r="E247" s="105" t="s">
        <v>382</v>
      </c>
      <c r="G247" s="106" t="str">
        <f t="shared" si="16"/>
        <v/>
      </c>
    </row>
    <row r="248" spans="1:7" x14ac:dyDescent="0.25">
      <c r="A248" s="106" t="str">
        <f t="shared" si="21"/>
        <v>null</v>
      </c>
      <c r="B248" t="s">
        <v>198</v>
      </c>
      <c r="C248" t="s">
        <v>384</v>
      </c>
      <c r="D248">
        <v>10</v>
      </c>
      <c r="E248" s="105" t="s">
        <v>101</v>
      </c>
      <c r="G248" s="106" t="str">
        <f t="shared" si="16"/>
        <v/>
      </c>
    </row>
    <row r="249" spans="1:7" x14ac:dyDescent="0.25">
      <c r="A249" s="106" t="str">
        <f>$A$250</f>
        <v>null</v>
      </c>
      <c r="B249" t="s">
        <v>198</v>
      </c>
      <c r="C249" t="s">
        <v>196</v>
      </c>
      <c r="D249">
        <v>10</v>
      </c>
      <c r="E249" s="105">
        <v>32</v>
      </c>
      <c r="G249" s="106" t="str">
        <f t="shared" si="16"/>
        <v/>
      </c>
    </row>
    <row r="250" spans="1:7" x14ac:dyDescent="0.25">
      <c r="A250" s="106" t="str">
        <f>IF($E$250="VACIO","null","go")</f>
        <v>null</v>
      </c>
      <c r="B250" t="s">
        <v>198</v>
      </c>
      <c r="C250" t="s">
        <v>197</v>
      </c>
      <c r="D250">
        <v>10</v>
      </c>
      <c r="E250" s="106" t="str">
        <f>IF(ISBLANK($N$18),"VACIO",$N$18)</f>
        <v>VACIO</v>
      </c>
      <c r="G250" s="106" t="str">
        <f t="shared" si="16"/>
        <v/>
      </c>
    </row>
    <row r="251" spans="1:7" x14ac:dyDescent="0.25">
      <c r="A251" s="106" t="str">
        <f t="shared" ref="A251:A252" si="22">$A$254</f>
        <v>null</v>
      </c>
      <c r="B251" t="s">
        <v>198</v>
      </c>
      <c r="C251" t="s">
        <v>195</v>
      </c>
      <c r="D251">
        <v>11</v>
      </c>
      <c r="E251" s="105" t="s">
        <v>382</v>
      </c>
      <c r="G251" s="106" t="str">
        <f t="shared" si="16"/>
        <v/>
      </c>
    </row>
    <row r="252" spans="1:7" x14ac:dyDescent="0.25">
      <c r="A252" s="106" t="str">
        <f t="shared" si="22"/>
        <v>null</v>
      </c>
      <c r="B252" t="s">
        <v>198</v>
      </c>
      <c r="C252" t="s">
        <v>384</v>
      </c>
      <c r="D252">
        <v>11</v>
      </c>
      <c r="E252" s="105" t="s">
        <v>101</v>
      </c>
      <c r="G252" s="106" t="str">
        <f t="shared" si="16"/>
        <v/>
      </c>
    </row>
    <row r="253" spans="1:7" x14ac:dyDescent="0.25">
      <c r="A253" s="106" t="str">
        <f>$A$254</f>
        <v>null</v>
      </c>
      <c r="B253" t="s">
        <v>198</v>
      </c>
      <c r="C253" t="s">
        <v>196</v>
      </c>
      <c r="D253">
        <v>11</v>
      </c>
      <c r="E253" s="105">
        <v>41</v>
      </c>
      <c r="G253" s="106" t="str">
        <f t="shared" si="16"/>
        <v/>
      </c>
    </row>
    <row r="254" spans="1:7" x14ac:dyDescent="0.25">
      <c r="A254" s="106" t="str">
        <f>IF($E$254="VACIO","null","go")</f>
        <v>null</v>
      </c>
      <c r="B254" t="s">
        <v>198</v>
      </c>
      <c r="C254" t="s">
        <v>197</v>
      </c>
      <c r="D254">
        <v>11</v>
      </c>
      <c r="E254" s="106" t="str">
        <f>IF(ISBLANK($M$19),"VACIO",$M$19)</f>
        <v>VACIO</v>
      </c>
      <c r="G254" s="106" t="str">
        <f t="shared" si="16"/>
        <v/>
      </c>
    </row>
    <row r="255" spans="1:7" x14ac:dyDescent="0.25">
      <c r="A255" s="106" t="str">
        <f t="shared" ref="A255:A256" si="23">$A$258</f>
        <v>null</v>
      </c>
      <c r="B255" t="s">
        <v>198</v>
      </c>
      <c r="C255" t="s">
        <v>195</v>
      </c>
      <c r="D255">
        <v>12</v>
      </c>
      <c r="E255" s="105" t="s">
        <v>382</v>
      </c>
      <c r="G255" s="106" t="str">
        <f t="shared" si="16"/>
        <v/>
      </c>
    </row>
    <row r="256" spans="1:7" x14ac:dyDescent="0.25">
      <c r="A256" s="106" t="str">
        <f t="shared" si="23"/>
        <v>null</v>
      </c>
      <c r="B256" t="s">
        <v>198</v>
      </c>
      <c r="C256" t="s">
        <v>384</v>
      </c>
      <c r="D256">
        <v>12</v>
      </c>
      <c r="E256" s="105" t="s">
        <v>101</v>
      </c>
      <c r="G256" s="106" t="str">
        <f t="shared" si="16"/>
        <v/>
      </c>
    </row>
    <row r="257" spans="1:7" x14ac:dyDescent="0.25">
      <c r="A257" s="106" t="str">
        <f>$A$258</f>
        <v>null</v>
      </c>
      <c r="B257" t="s">
        <v>198</v>
      </c>
      <c r="C257" t="s">
        <v>196</v>
      </c>
      <c r="D257">
        <v>12</v>
      </c>
      <c r="E257" s="105">
        <v>42</v>
      </c>
      <c r="G257" s="106" t="str">
        <f t="shared" si="16"/>
        <v/>
      </c>
    </row>
    <row r="258" spans="1:7" x14ac:dyDescent="0.25">
      <c r="A258" s="106" t="str">
        <f>IF($E$258="VACIO","null","go")</f>
        <v>null</v>
      </c>
      <c r="B258" t="s">
        <v>198</v>
      </c>
      <c r="C258" t="s">
        <v>197</v>
      </c>
      <c r="D258">
        <v>12</v>
      </c>
      <c r="E258" s="106" t="str">
        <f>IF(ISBLANK($N$19),"VACIO",$N$19)</f>
        <v>VACIO</v>
      </c>
      <c r="G258" s="106" t="str">
        <f t="shared" si="16"/>
        <v/>
      </c>
    </row>
    <row r="259" spans="1:7" x14ac:dyDescent="0.25">
      <c r="A259" s="106" t="str">
        <f t="shared" ref="A259:A260" si="24">$A$262</f>
        <v>null</v>
      </c>
      <c r="B259" t="s">
        <v>198</v>
      </c>
      <c r="C259" t="s">
        <v>195</v>
      </c>
      <c r="D259">
        <v>13</v>
      </c>
      <c r="E259" s="105" t="s">
        <v>382</v>
      </c>
      <c r="G259" s="106" t="str">
        <f t="shared" si="16"/>
        <v/>
      </c>
    </row>
    <row r="260" spans="1:7" x14ac:dyDescent="0.25">
      <c r="A260" s="106" t="str">
        <f t="shared" si="24"/>
        <v>null</v>
      </c>
      <c r="B260" t="s">
        <v>198</v>
      </c>
      <c r="C260" t="s">
        <v>384</v>
      </c>
      <c r="D260">
        <v>13</v>
      </c>
      <c r="E260" s="105" t="s">
        <v>101</v>
      </c>
      <c r="G260" s="106" t="str">
        <f t="shared" si="16"/>
        <v/>
      </c>
    </row>
    <row r="261" spans="1:7" x14ac:dyDescent="0.25">
      <c r="A261" s="106" t="str">
        <f>$A$262</f>
        <v>null</v>
      </c>
      <c r="B261" t="s">
        <v>198</v>
      </c>
      <c r="C261" t="s">
        <v>196</v>
      </c>
      <c r="D261">
        <v>13</v>
      </c>
      <c r="E261" s="105">
        <v>51</v>
      </c>
      <c r="G261" s="106" t="str">
        <f t="shared" si="16"/>
        <v/>
      </c>
    </row>
    <row r="262" spans="1:7" x14ac:dyDescent="0.25">
      <c r="A262" s="106" t="str">
        <f>IF($E$262="VACIO","null","go")</f>
        <v>null</v>
      </c>
      <c r="B262" t="s">
        <v>198</v>
      </c>
      <c r="C262" t="s">
        <v>197</v>
      </c>
      <c r="D262">
        <v>13</v>
      </c>
      <c r="E262" s="106" t="str">
        <f>IF(ISBLANK($M$20),"VACIO",$M$20)</f>
        <v>VACIO</v>
      </c>
      <c r="G262" s="106" t="str">
        <f t="shared" si="16"/>
        <v/>
      </c>
    </row>
    <row r="263" spans="1:7" x14ac:dyDescent="0.25">
      <c r="A263" s="106" t="str">
        <f t="shared" ref="A263:A264" si="25">$A$266</f>
        <v>null</v>
      </c>
      <c r="B263" t="s">
        <v>198</v>
      </c>
      <c r="C263" t="s">
        <v>195</v>
      </c>
      <c r="D263">
        <v>14</v>
      </c>
      <c r="E263" s="105" t="s">
        <v>382</v>
      </c>
      <c r="G263" s="106" t="str">
        <f t="shared" si="16"/>
        <v/>
      </c>
    </row>
    <row r="264" spans="1:7" x14ac:dyDescent="0.25">
      <c r="A264" s="106" t="str">
        <f t="shared" si="25"/>
        <v>null</v>
      </c>
      <c r="B264" t="s">
        <v>198</v>
      </c>
      <c r="C264" t="s">
        <v>384</v>
      </c>
      <c r="D264">
        <v>14</v>
      </c>
      <c r="E264" s="105" t="s">
        <v>101</v>
      </c>
      <c r="G264" s="106" t="str">
        <f t="shared" si="16"/>
        <v/>
      </c>
    </row>
    <row r="265" spans="1:7" x14ac:dyDescent="0.25">
      <c r="A265" s="106" t="str">
        <f>$A$266</f>
        <v>null</v>
      </c>
      <c r="B265" t="s">
        <v>198</v>
      </c>
      <c r="C265" t="s">
        <v>196</v>
      </c>
      <c r="D265">
        <v>14</v>
      </c>
      <c r="E265" s="105">
        <v>52</v>
      </c>
      <c r="G265" s="106" t="str">
        <f t="shared" si="16"/>
        <v/>
      </c>
    </row>
    <row r="266" spans="1:7" x14ac:dyDescent="0.25">
      <c r="A266" s="106" t="str">
        <f>IF($E$266="VACIO","null","go")</f>
        <v>null</v>
      </c>
      <c r="B266" t="s">
        <v>198</v>
      </c>
      <c r="C266" t="s">
        <v>197</v>
      </c>
      <c r="D266">
        <v>14</v>
      </c>
      <c r="E266" s="106" t="str">
        <f>IF(ISBLANK($N$20),"VACIO",$N$20)</f>
        <v>VACIO</v>
      </c>
      <c r="G266" s="106" t="str">
        <f t="shared" si="16"/>
        <v/>
      </c>
    </row>
    <row r="267" spans="1:7" x14ac:dyDescent="0.25">
      <c r="A267" s="106" t="str">
        <f t="shared" ref="A267:A268" si="26">$A$270</f>
        <v>null</v>
      </c>
      <c r="B267" t="s">
        <v>198</v>
      </c>
      <c r="C267" t="s">
        <v>195</v>
      </c>
      <c r="D267">
        <v>15</v>
      </c>
      <c r="E267" s="105" t="s">
        <v>382</v>
      </c>
      <c r="G267" s="106" t="str">
        <f t="shared" si="16"/>
        <v/>
      </c>
    </row>
    <row r="268" spans="1:7" x14ac:dyDescent="0.25">
      <c r="A268" s="106" t="str">
        <f t="shared" si="26"/>
        <v>null</v>
      </c>
      <c r="B268" t="s">
        <v>198</v>
      </c>
      <c r="C268" t="s">
        <v>384</v>
      </c>
      <c r="D268">
        <v>15</v>
      </c>
      <c r="E268" s="105" t="s">
        <v>101</v>
      </c>
      <c r="G268" s="106" t="str">
        <f t="shared" si="16"/>
        <v/>
      </c>
    </row>
    <row r="269" spans="1:7" x14ac:dyDescent="0.25">
      <c r="A269" s="106" t="str">
        <f>$A$270</f>
        <v>null</v>
      </c>
      <c r="B269" t="s">
        <v>198</v>
      </c>
      <c r="C269" t="s">
        <v>196</v>
      </c>
      <c r="D269">
        <v>15</v>
      </c>
      <c r="E269" s="105">
        <v>61</v>
      </c>
      <c r="G269" s="106" t="str">
        <f t="shared" si="16"/>
        <v/>
      </c>
    </row>
    <row r="270" spans="1:7" x14ac:dyDescent="0.25">
      <c r="A270" s="106" t="str">
        <f>IF($E$270="VACIO","null","go")</f>
        <v>null</v>
      </c>
      <c r="B270" t="s">
        <v>198</v>
      </c>
      <c r="C270" t="s">
        <v>197</v>
      </c>
      <c r="D270">
        <v>15</v>
      </c>
      <c r="E270" s="106" t="str">
        <f>IF(ISBLANK($M$21),"VACIO",$M$21)</f>
        <v>VACIO</v>
      </c>
      <c r="G270" s="106" t="str">
        <f t="shared" si="16"/>
        <v/>
      </c>
    </row>
    <row r="271" spans="1:7" x14ac:dyDescent="0.25">
      <c r="A271" s="106" t="str">
        <f t="shared" ref="A271:A272" si="27">$A$274</f>
        <v>null</v>
      </c>
      <c r="B271" t="s">
        <v>198</v>
      </c>
      <c r="C271" t="s">
        <v>195</v>
      </c>
      <c r="D271">
        <v>16</v>
      </c>
      <c r="E271" s="105" t="s">
        <v>382</v>
      </c>
      <c r="G271" s="106" t="str">
        <f t="shared" si="16"/>
        <v/>
      </c>
    </row>
    <row r="272" spans="1:7" x14ac:dyDescent="0.25">
      <c r="A272" s="106" t="str">
        <f t="shared" si="27"/>
        <v>null</v>
      </c>
      <c r="B272" t="s">
        <v>198</v>
      </c>
      <c r="C272" t="s">
        <v>384</v>
      </c>
      <c r="D272">
        <v>16</v>
      </c>
      <c r="E272" s="105" t="s">
        <v>101</v>
      </c>
      <c r="G272" s="106" t="str">
        <f t="shared" si="16"/>
        <v/>
      </c>
    </row>
    <row r="273" spans="1:7" x14ac:dyDescent="0.25">
      <c r="A273" s="106" t="str">
        <f>$A$274</f>
        <v>null</v>
      </c>
      <c r="B273" t="s">
        <v>198</v>
      </c>
      <c r="C273" t="s">
        <v>196</v>
      </c>
      <c r="D273">
        <v>16</v>
      </c>
      <c r="E273" s="105">
        <v>62</v>
      </c>
      <c r="G273" s="106" t="str">
        <f t="shared" si="16"/>
        <v/>
      </c>
    </row>
    <row r="274" spans="1:7" x14ac:dyDescent="0.25">
      <c r="A274" s="106" t="str">
        <f>IF($E$274="VACIO","null","go")</f>
        <v>null</v>
      </c>
      <c r="B274" t="s">
        <v>198</v>
      </c>
      <c r="C274" t="s">
        <v>197</v>
      </c>
      <c r="D274">
        <v>16</v>
      </c>
      <c r="E274" s="106" t="str">
        <f>IF(ISBLANK($N$21),"VACIO",$N$21)</f>
        <v>VACIO</v>
      </c>
      <c r="G274" s="106" t="str">
        <f t="shared" si="16"/>
        <v/>
      </c>
    </row>
    <row r="275" spans="1:7" x14ac:dyDescent="0.25">
      <c r="A275" s="106" t="str">
        <f t="shared" ref="A275:A276" si="28">$A$278</f>
        <v>null</v>
      </c>
      <c r="B275" t="s">
        <v>198</v>
      </c>
      <c r="C275" t="s">
        <v>195</v>
      </c>
      <c r="D275">
        <v>17</v>
      </c>
      <c r="E275" s="105" t="s">
        <v>382</v>
      </c>
      <c r="G275" s="106" t="str">
        <f t="shared" si="16"/>
        <v/>
      </c>
    </row>
    <row r="276" spans="1:7" x14ac:dyDescent="0.25">
      <c r="A276" s="106" t="str">
        <f t="shared" si="28"/>
        <v>null</v>
      </c>
      <c r="B276" t="s">
        <v>198</v>
      </c>
      <c r="C276" t="s">
        <v>384</v>
      </c>
      <c r="D276">
        <v>17</v>
      </c>
      <c r="E276" s="105" t="s">
        <v>101</v>
      </c>
      <c r="G276" s="106" t="str">
        <f t="shared" si="16"/>
        <v/>
      </c>
    </row>
    <row r="277" spans="1:7" x14ac:dyDescent="0.25">
      <c r="A277" s="106" t="str">
        <f>$A$278</f>
        <v>null</v>
      </c>
      <c r="B277" t="s">
        <v>198</v>
      </c>
      <c r="C277" t="s">
        <v>196</v>
      </c>
      <c r="D277">
        <v>17</v>
      </c>
      <c r="E277" s="105">
        <v>71</v>
      </c>
      <c r="G277" s="106" t="str">
        <f t="shared" si="16"/>
        <v/>
      </c>
    </row>
    <row r="278" spans="1:7" x14ac:dyDescent="0.25">
      <c r="A278" s="106" t="str">
        <f>IF($E$278="VACIO","null","go")</f>
        <v>null</v>
      </c>
      <c r="B278" t="s">
        <v>198</v>
      </c>
      <c r="C278" t="s">
        <v>197</v>
      </c>
      <c r="D278">
        <v>17</v>
      </c>
      <c r="E278" s="106" t="str">
        <f>IF(ISBLANK($M$22),"VACIO",$M$22)</f>
        <v>VACIO</v>
      </c>
      <c r="G278" s="106" t="str">
        <f t="shared" si="16"/>
        <v/>
      </c>
    </row>
    <row r="279" spans="1:7" x14ac:dyDescent="0.25">
      <c r="A279" s="106" t="str">
        <f t="shared" ref="A279:A280" si="29">$A$282</f>
        <v>null</v>
      </c>
      <c r="B279" t="s">
        <v>198</v>
      </c>
      <c r="C279" t="s">
        <v>195</v>
      </c>
      <c r="D279">
        <v>18</v>
      </c>
      <c r="E279" s="105" t="s">
        <v>382</v>
      </c>
      <c r="G279" s="106" t="str">
        <f t="shared" si="16"/>
        <v/>
      </c>
    </row>
    <row r="280" spans="1:7" x14ac:dyDescent="0.25">
      <c r="A280" s="106" t="str">
        <f t="shared" si="29"/>
        <v>null</v>
      </c>
      <c r="B280" t="s">
        <v>198</v>
      </c>
      <c r="C280" t="s">
        <v>384</v>
      </c>
      <c r="D280">
        <v>18</v>
      </c>
      <c r="E280" s="105" t="s">
        <v>101</v>
      </c>
      <c r="G280" s="106" t="str">
        <f t="shared" si="16"/>
        <v/>
      </c>
    </row>
    <row r="281" spans="1:7" x14ac:dyDescent="0.25">
      <c r="A281" s="106" t="str">
        <f>$A$282</f>
        <v>null</v>
      </c>
      <c r="B281" t="s">
        <v>198</v>
      </c>
      <c r="C281" t="s">
        <v>196</v>
      </c>
      <c r="D281">
        <v>18</v>
      </c>
      <c r="E281" s="105">
        <v>72</v>
      </c>
      <c r="G281" s="106" t="str">
        <f t="shared" si="16"/>
        <v/>
      </c>
    </row>
    <row r="282" spans="1:7" x14ac:dyDescent="0.25">
      <c r="A282" s="106" t="str">
        <f>IF($E$282="VACIO","null","go")</f>
        <v>null</v>
      </c>
      <c r="B282" t="s">
        <v>198</v>
      </c>
      <c r="C282" t="s">
        <v>197</v>
      </c>
      <c r="D282">
        <v>18</v>
      </c>
      <c r="E282" s="106" t="str">
        <f>IF(ISBLANK($N$22),"VACIO",$N$22)</f>
        <v>VACIO</v>
      </c>
      <c r="G282" s="106" t="str">
        <f t="shared" si="16"/>
        <v/>
      </c>
    </row>
    <row r="283" spans="1:7" x14ac:dyDescent="0.25">
      <c r="A283" s="106" t="str">
        <f t="shared" ref="A283:A284" si="30">$A$286</f>
        <v>null</v>
      </c>
      <c r="B283" t="s">
        <v>198</v>
      </c>
      <c r="C283" t="s">
        <v>195</v>
      </c>
      <c r="D283">
        <v>19</v>
      </c>
      <c r="E283" s="105" t="s">
        <v>382</v>
      </c>
      <c r="G283" s="106" t="str">
        <f t="shared" si="16"/>
        <v/>
      </c>
    </row>
    <row r="284" spans="1:7" x14ac:dyDescent="0.25">
      <c r="A284" s="106" t="str">
        <f t="shared" si="30"/>
        <v>null</v>
      </c>
      <c r="B284" t="s">
        <v>198</v>
      </c>
      <c r="C284" t="s">
        <v>384</v>
      </c>
      <c r="D284">
        <v>19</v>
      </c>
      <c r="E284" s="105" t="s">
        <v>101</v>
      </c>
      <c r="G284" s="106" t="str">
        <f t="shared" si="16"/>
        <v/>
      </c>
    </row>
    <row r="285" spans="1:7" x14ac:dyDescent="0.25">
      <c r="A285" s="106" t="str">
        <f>$A$286</f>
        <v>null</v>
      </c>
      <c r="B285" t="s">
        <v>198</v>
      </c>
      <c r="C285" t="s">
        <v>196</v>
      </c>
      <c r="D285">
        <v>19</v>
      </c>
      <c r="E285" s="105">
        <v>81</v>
      </c>
      <c r="G285" s="106" t="str">
        <f t="shared" ref="G285:G319" si="31">IF($A285="go",CONCATENATE($B285,";",$C285,";",$D285,";",$E285),"")</f>
        <v/>
      </c>
    </row>
    <row r="286" spans="1:7" x14ac:dyDescent="0.25">
      <c r="A286" s="106" t="str">
        <f>IF($E$286="VACIO","null","go")</f>
        <v>null</v>
      </c>
      <c r="B286" t="s">
        <v>198</v>
      </c>
      <c r="C286" t="s">
        <v>197</v>
      </c>
      <c r="D286">
        <v>19</v>
      </c>
      <c r="E286" s="106" t="str">
        <f>IF(ISBLANK($M$23),"VACIO",$M$23)</f>
        <v>VACIO</v>
      </c>
      <c r="G286" s="106" t="str">
        <f t="shared" si="31"/>
        <v/>
      </c>
    </row>
    <row r="287" spans="1:7" x14ac:dyDescent="0.25">
      <c r="A287" s="106" t="str">
        <f t="shared" ref="A287:A288" si="32">$A$290</f>
        <v>null</v>
      </c>
      <c r="B287" t="s">
        <v>198</v>
      </c>
      <c r="C287" t="s">
        <v>195</v>
      </c>
      <c r="D287">
        <v>20</v>
      </c>
      <c r="E287" s="105" t="s">
        <v>382</v>
      </c>
      <c r="G287" s="106" t="str">
        <f t="shared" si="31"/>
        <v/>
      </c>
    </row>
    <row r="288" spans="1:7" x14ac:dyDescent="0.25">
      <c r="A288" s="106" t="str">
        <f t="shared" si="32"/>
        <v>null</v>
      </c>
      <c r="B288" t="s">
        <v>198</v>
      </c>
      <c r="C288" t="s">
        <v>384</v>
      </c>
      <c r="D288">
        <v>20</v>
      </c>
      <c r="E288" s="105" t="s">
        <v>101</v>
      </c>
      <c r="G288" s="106" t="str">
        <f t="shared" si="31"/>
        <v/>
      </c>
    </row>
    <row r="289" spans="1:7" x14ac:dyDescent="0.25">
      <c r="A289" s="106" t="str">
        <f>$A$290</f>
        <v>null</v>
      </c>
      <c r="B289" t="s">
        <v>198</v>
      </c>
      <c r="C289" t="s">
        <v>196</v>
      </c>
      <c r="D289">
        <v>20</v>
      </c>
      <c r="E289" s="105">
        <v>82</v>
      </c>
      <c r="G289" s="106" t="str">
        <f t="shared" si="31"/>
        <v/>
      </c>
    </row>
    <row r="290" spans="1:7" x14ac:dyDescent="0.25">
      <c r="A290" s="106" t="str">
        <f>IF($E$290="VACIO","null","go")</f>
        <v>null</v>
      </c>
      <c r="B290" t="s">
        <v>198</v>
      </c>
      <c r="C290" t="s">
        <v>197</v>
      </c>
      <c r="D290">
        <v>20</v>
      </c>
      <c r="E290" s="106" t="str">
        <f>IF(ISBLANK($N$23),"VACIO",$N$23)</f>
        <v>VACIO</v>
      </c>
      <c r="G290" s="106" t="str">
        <f t="shared" si="31"/>
        <v/>
      </c>
    </row>
    <row r="291" spans="1:7" x14ac:dyDescent="0.25">
      <c r="A291" s="106" t="str">
        <f t="shared" ref="A291:A292" si="33">$A$294</f>
        <v>null</v>
      </c>
      <c r="B291" t="s">
        <v>198</v>
      </c>
      <c r="C291" t="s">
        <v>195</v>
      </c>
      <c r="D291">
        <v>21</v>
      </c>
      <c r="E291" s="105" t="s">
        <v>382</v>
      </c>
      <c r="G291" s="106" t="str">
        <f t="shared" si="31"/>
        <v/>
      </c>
    </row>
    <row r="292" spans="1:7" x14ac:dyDescent="0.25">
      <c r="A292" s="106" t="str">
        <f t="shared" si="33"/>
        <v>null</v>
      </c>
      <c r="B292" t="s">
        <v>198</v>
      </c>
      <c r="C292" t="s">
        <v>384</v>
      </c>
      <c r="D292">
        <v>21</v>
      </c>
      <c r="E292" s="105" t="s">
        <v>101</v>
      </c>
      <c r="G292" s="106" t="str">
        <f t="shared" si="31"/>
        <v/>
      </c>
    </row>
    <row r="293" spans="1:7" x14ac:dyDescent="0.25">
      <c r="A293" s="106" t="str">
        <f>$A$294</f>
        <v>null</v>
      </c>
      <c r="B293" t="s">
        <v>198</v>
      </c>
      <c r="C293" t="s">
        <v>196</v>
      </c>
      <c r="D293">
        <v>21</v>
      </c>
      <c r="E293" s="105">
        <v>91</v>
      </c>
      <c r="G293" s="106" t="str">
        <f t="shared" si="31"/>
        <v/>
      </c>
    </row>
    <row r="294" spans="1:7" x14ac:dyDescent="0.25">
      <c r="A294" s="106" t="str">
        <f>IF($E$294="VACIO","null","go")</f>
        <v>null</v>
      </c>
      <c r="B294" t="s">
        <v>198</v>
      </c>
      <c r="C294" t="s">
        <v>197</v>
      </c>
      <c r="D294">
        <v>21</v>
      </c>
      <c r="E294" s="106" t="str">
        <f>IF(ISBLANK($M$24),"VACIO",$M$24)</f>
        <v>VACIO</v>
      </c>
      <c r="G294" s="106" t="str">
        <f t="shared" si="31"/>
        <v/>
      </c>
    </row>
    <row r="295" spans="1:7" x14ac:dyDescent="0.25">
      <c r="A295" s="106" t="str">
        <f t="shared" ref="A295:A296" si="34">$A$298</f>
        <v>null</v>
      </c>
      <c r="B295" t="s">
        <v>198</v>
      </c>
      <c r="C295" t="s">
        <v>195</v>
      </c>
      <c r="D295">
        <v>22</v>
      </c>
      <c r="E295" s="105" t="s">
        <v>382</v>
      </c>
      <c r="G295" s="106" t="str">
        <f t="shared" si="31"/>
        <v/>
      </c>
    </row>
    <row r="296" spans="1:7" x14ac:dyDescent="0.25">
      <c r="A296" s="106" t="str">
        <f t="shared" si="34"/>
        <v>null</v>
      </c>
      <c r="B296" t="s">
        <v>198</v>
      </c>
      <c r="C296" t="s">
        <v>384</v>
      </c>
      <c r="D296">
        <v>22</v>
      </c>
      <c r="E296" s="105" t="s">
        <v>101</v>
      </c>
      <c r="G296" s="106" t="str">
        <f t="shared" si="31"/>
        <v/>
      </c>
    </row>
    <row r="297" spans="1:7" x14ac:dyDescent="0.25">
      <c r="A297" s="106" t="str">
        <f>$A$298</f>
        <v>null</v>
      </c>
      <c r="B297" t="s">
        <v>198</v>
      </c>
      <c r="C297" t="s">
        <v>196</v>
      </c>
      <c r="D297">
        <v>22</v>
      </c>
      <c r="E297" s="105">
        <v>92</v>
      </c>
      <c r="G297" s="106" t="str">
        <f t="shared" si="31"/>
        <v/>
      </c>
    </row>
    <row r="298" spans="1:7" x14ac:dyDescent="0.25">
      <c r="A298" s="106" t="str">
        <f>IF($E$298="VACIO","null","go")</f>
        <v>null</v>
      </c>
      <c r="B298" t="s">
        <v>198</v>
      </c>
      <c r="C298" t="s">
        <v>197</v>
      </c>
      <c r="D298">
        <v>22</v>
      </c>
      <c r="E298" s="106" t="str">
        <f>IF(ISBLANK($N$24),"VACIO",$N$24)</f>
        <v>VACIO</v>
      </c>
      <c r="G298" s="106" t="str">
        <f t="shared" si="31"/>
        <v/>
      </c>
    </row>
    <row r="299" spans="1:7" x14ac:dyDescent="0.25">
      <c r="A299" s="106" t="str">
        <f t="shared" ref="A299:A300" si="35">$A$302</f>
        <v>null</v>
      </c>
      <c r="B299" t="s">
        <v>198</v>
      </c>
      <c r="C299" t="s">
        <v>195</v>
      </c>
      <c r="D299">
        <v>23</v>
      </c>
      <c r="E299" s="105" t="s">
        <v>382</v>
      </c>
      <c r="G299" s="106" t="str">
        <f t="shared" si="31"/>
        <v/>
      </c>
    </row>
    <row r="300" spans="1:7" x14ac:dyDescent="0.25">
      <c r="A300" s="106" t="str">
        <f t="shared" si="35"/>
        <v>null</v>
      </c>
      <c r="B300" t="s">
        <v>198</v>
      </c>
      <c r="C300" t="s">
        <v>384</v>
      </c>
      <c r="D300">
        <v>23</v>
      </c>
      <c r="E300" s="105" t="s">
        <v>101</v>
      </c>
      <c r="G300" s="106" t="str">
        <f t="shared" si="31"/>
        <v/>
      </c>
    </row>
    <row r="301" spans="1:7" x14ac:dyDescent="0.25">
      <c r="A301" s="106" t="str">
        <f>$A$302</f>
        <v>null</v>
      </c>
      <c r="B301" t="s">
        <v>198</v>
      </c>
      <c r="C301" t="s">
        <v>196</v>
      </c>
      <c r="D301">
        <v>23</v>
      </c>
      <c r="E301" s="105">
        <v>101</v>
      </c>
      <c r="G301" s="106" t="str">
        <f t="shared" si="31"/>
        <v/>
      </c>
    </row>
    <row r="302" spans="1:7" x14ac:dyDescent="0.25">
      <c r="A302" s="106" t="str">
        <f>IF($E$302="VACIO","null","go")</f>
        <v>null</v>
      </c>
      <c r="B302" t="s">
        <v>198</v>
      </c>
      <c r="C302" t="s">
        <v>197</v>
      </c>
      <c r="D302">
        <v>23</v>
      </c>
      <c r="E302" s="106" t="str">
        <f>IF(ISBLANK($M$25),"VACIO",$M$25)</f>
        <v>VACIO</v>
      </c>
      <c r="G302" s="106" t="str">
        <f t="shared" si="31"/>
        <v/>
      </c>
    </row>
    <row r="303" spans="1:7" x14ac:dyDescent="0.25">
      <c r="A303" s="106" t="str">
        <f t="shared" ref="A303:A304" si="36">$A$306</f>
        <v>null</v>
      </c>
      <c r="B303" t="s">
        <v>198</v>
      </c>
      <c r="C303" t="s">
        <v>195</v>
      </c>
      <c r="D303">
        <v>24</v>
      </c>
      <c r="E303" s="105" t="s">
        <v>382</v>
      </c>
      <c r="G303" s="106" t="str">
        <f t="shared" si="31"/>
        <v/>
      </c>
    </row>
    <row r="304" spans="1:7" x14ac:dyDescent="0.25">
      <c r="A304" s="106" t="str">
        <f t="shared" si="36"/>
        <v>null</v>
      </c>
      <c r="B304" t="s">
        <v>198</v>
      </c>
      <c r="C304" t="s">
        <v>384</v>
      </c>
      <c r="D304">
        <v>24</v>
      </c>
      <c r="E304" s="105" t="s">
        <v>101</v>
      </c>
      <c r="G304" s="106" t="str">
        <f t="shared" si="31"/>
        <v/>
      </c>
    </row>
    <row r="305" spans="1:7" x14ac:dyDescent="0.25">
      <c r="A305" s="106" t="str">
        <f>$A$306</f>
        <v>null</v>
      </c>
      <c r="B305" t="s">
        <v>198</v>
      </c>
      <c r="C305" t="s">
        <v>196</v>
      </c>
      <c r="D305">
        <v>24</v>
      </c>
      <c r="E305" s="105">
        <v>102</v>
      </c>
      <c r="G305" s="106" t="str">
        <f t="shared" si="31"/>
        <v/>
      </c>
    </row>
    <row r="306" spans="1:7" x14ac:dyDescent="0.25">
      <c r="A306" s="106" t="str">
        <f>IF($E$306="VACIO","null","go")</f>
        <v>null</v>
      </c>
      <c r="B306" t="s">
        <v>198</v>
      </c>
      <c r="C306" t="s">
        <v>197</v>
      </c>
      <c r="D306">
        <v>24</v>
      </c>
      <c r="E306" s="106" t="str">
        <f>IF(ISBLANK($N$25),"VACIO",$N$25)</f>
        <v>VACIO</v>
      </c>
      <c r="G306" s="106" t="str">
        <f t="shared" si="31"/>
        <v/>
      </c>
    </row>
    <row r="307" spans="1:7" x14ac:dyDescent="0.25">
      <c r="A307" s="106" t="str">
        <f>$A$308</f>
        <v>null</v>
      </c>
      <c r="B307" t="s">
        <v>390</v>
      </c>
      <c r="C307" t="s">
        <v>385</v>
      </c>
      <c r="D307">
        <v>1</v>
      </c>
      <c r="E307" s="106">
        <v>1</v>
      </c>
      <c r="G307" s="106" t="str">
        <f t="shared" si="31"/>
        <v/>
      </c>
    </row>
    <row r="308" spans="1:7" x14ac:dyDescent="0.25">
      <c r="A308" s="106" t="str">
        <f>IF($E$308&gt;0,"go","null")</f>
        <v>null</v>
      </c>
      <c r="B308" t="s">
        <v>390</v>
      </c>
      <c r="C308" t="s">
        <v>386</v>
      </c>
      <c r="D308">
        <v>1</v>
      </c>
      <c r="E308" s="105">
        <f>$D$12</f>
        <v>0</v>
      </c>
      <c r="G308" s="106" t="str">
        <f t="shared" si="31"/>
        <v/>
      </c>
    </row>
    <row r="309" spans="1:7" x14ac:dyDescent="0.25">
      <c r="A309" s="106" t="str">
        <f>$A$308</f>
        <v>null</v>
      </c>
      <c r="B309" t="s">
        <v>390</v>
      </c>
      <c r="C309" t="s">
        <v>387</v>
      </c>
      <c r="D309">
        <v>1</v>
      </c>
      <c r="E309" s="105">
        <f>$A$12</f>
        <v>0</v>
      </c>
      <c r="G309" s="106" t="str">
        <f t="shared" si="31"/>
        <v/>
      </c>
    </row>
    <row r="310" spans="1:7" x14ac:dyDescent="0.25">
      <c r="A310" s="106" t="str">
        <f t="shared" ref="A310:A311" si="37">$A$308</f>
        <v>null</v>
      </c>
      <c r="B310" t="s">
        <v>390</v>
      </c>
      <c r="C310" t="s">
        <v>388</v>
      </c>
      <c r="D310">
        <v>1</v>
      </c>
      <c r="E310" s="105">
        <f>$B$12</f>
        <v>0</v>
      </c>
      <c r="G310" s="106" t="str">
        <f t="shared" si="31"/>
        <v/>
      </c>
    </row>
    <row r="311" spans="1:7" x14ac:dyDescent="0.25">
      <c r="A311" s="106" t="str">
        <f t="shared" si="37"/>
        <v>null</v>
      </c>
      <c r="B311" t="s">
        <v>390</v>
      </c>
      <c r="C311" t="s">
        <v>389</v>
      </c>
      <c r="D311">
        <v>1</v>
      </c>
      <c r="E311" s="106">
        <f>$C$12</f>
        <v>0</v>
      </c>
      <c r="G311" s="106" t="str">
        <f t="shared" si="31"/>
        <v/>
      </c>
    </row>
    <row r="312" spans="1:7" x14ac:dyDescent="0.25">
      <c r="A312" s="106" t="str">
        <f>$A$313</f>
        <v>null</v>
      </c>
      <c r="B312" t="s">
        <v>203</v>
      </c>
      <c r="C312" t="s">
        <v>199</v>
      </c>
      <c r="D312">
        <v>1</v>
      </c>
      <c r="E312" s="106">
        <v>1</v>
      </c>
      <c r="G312" s="106" t="str">
        <f t="shared" si="31"/>
        <v/>
      </c>
    </row>
    <row r="313" spans="1:7" x14ac:dyDescent="0.25">
      <c r="A313" s="106" t="str">
        <f>IF($E$313="VACIO","null","go")</f>
        <v>null</v>
      </c>
      <c r="B313" t="s">
        <v>203</v>
      </c>
      <c r="C313" t="s">
        <v>200</v>
      </c>
      <c r="D313">
        <v>1</v>
      </c>
      <c r="E313" s="106" t="str">
        <f>IF(ISBLANK($K$11),"VACIO",$K$11)</f>
        <v>VACIO</v>
      </c>
      <c r="G313" s="106" t="str">
        <f t="shared" si="31"/>
        <v/>
      </c>
    </row>
    <row r="314" spans="1:7" x14ac:dyDescent="0.25">
      <c r="A314" s="106" t="str">
        <f>$A$313</f>
        <v>null</v>
      </c>
      <c r="B314" t="s">
        <v>203</v>
      </c>
      <c r="C314" t="s">
        <v>201</v>
      </c>
      <c r="D314">
        <v>1</v>
      </c>
      <c r="E314" s="106" t="s">
        <v>54</v>
      </c>
      <c r="G314" s="106" t="str">
        <f t="shared" si="31"/>
        <v/>
      </c>
    </row>
    <row r="315" spans="1:7" x14ac:dyDescent="0.25">
      <c r="A315" s="106" t="str">
        <f>$A$313</f>
        <v>null</v>
      </c>
      <c r="B315" t="s">
        <v>203</v>
      </c>
      <c r="C315" t="s">
        <v>202</v>
      </c>
      <c r="D315">
        <v>1</v>
      </c>
      <c r="E315" s="106" t="s">
        <v>54</v>
      </c>
      <c r="G315" s="106" t="str">
        <f t="shared" si="31"/>
        <v/>
      </c>
    </row>
    <row r="316" spans="1:7" x14ac:dyDescent="0.25">
      <c r="A316" s="106" t="str">
        <f>$A$317</f>
        <v>null</v>
      </c>
      <c r="B316" t="s">
        <v>203</v>
      </c>
      <c r="C316" t="s">
        <v>199</v>
      </c>
      <c r="D316">
        <v>2</v>
      </c>
      <c r="E316" s="106">
        <v>2</v>
      </c>
      <c r="G316" s="106" t="str">
        <f t="shared" si="31"/>
        <v/>
      </c>
    </row>
    <row r="317" spans="1:7" x14ac:dyDescent="0.25">
      <c r="A317" s="106" t="str">
        <f>IF($E$317="VACIO","null","go")</f>
        <v>null</v>
      </c>
      <c r="B317" t="s">
        <v>203</v>
      </c>
      <c r="C317" t="s">
        <v>200</v>
      </c>
      <c r="D317">
        <v>2</v>
      </c>
      <c r="E317" s="106" t="str">
        <f>IF(ISBLANK($K$12),"VACIO",$K$12)</f>
        <v>VACIO</v>
      </c>
      <c r="G317" s="106" t="str">
        <f t="shared" si="31"/>
        <v/>
      </c>
    </row>
    <row r="318" spans="1:7" x14ac:dyDescent="0.25">
      <c r="A318" s="106" t="str">
        <f>$A$317</f>
        <v>null</v>
      </c>
      <c r="B318" t="s">
        <v>203</v>
      </c>
      <c r="C318" t="s">
        <v>201</v>
      </c>
      <c r="D318">
        <v>2</v>
      </c>
      <c r="E318" s="106" t="s">
        <v>54</v>
      </c>
      <c r="G318" s="106" t="str">
        <f t="shared" si="31"/>
        <v/>
      </c>
    </row>
    <row r="319" spans="1:7" x14ac:dyDescent="0.25">
      <c r="A319" s="106" t="str">
        <f>$A$317</f>
        <v>null</v>
      </c>
      <c r="B319" t="s">
        <v>203</v>
      </c>
      <c r="C319" t="s">
        <v>202</v>
      </c>
      <c r="D319">
        <v>2</v>
      </c>
      <c r="E319" s="106"/>
      <c r="G319" s="106" t="str">
        <f t="shared" si="31"/>
        <v/>
      </c>
    </row>
    <row r="320" spans="1:7" x14ac:dyDescent="0.25">
      <c r="A320" s="106"/>
    </row>
    <row r="321" spans="1:1" x14ac:dyDescent="0.25">
      <c r="A321" s="106"/>
    </row>
    <row r="322" spans="1:1" x14ac:dyDescent="0.25">
      <c r="A322" s="106"/>
    </row>
    <row r="323" spans="1:1" x14ac:dyDescent="0.25">
      <c r="A323" s="106"/>
    </row>
    <row r="324" spans="1:1" hidden="1" x14ac:dyDescent="0.25">
      <c r="A324" s="106"/>
    </row>
    <row r="325" spans="1:1" hidden="1" x14ac:dyDescent="0.25">
      <c r="A325" s="106"/>
    </row>
    <row r="326" spans="1:1" hidden="1" x14ac:dyDescent="0.25">
      <c r="A326" s="106"/>
    </row>
    <row r="327" spans="1:1" hidden="1" x14ac:dyDescent="0.25">
      <c r="A327" s="106"/>
    </row>
    <row r="328" spans="1:1" hidden="1" x14ac:dyDescent="0.25">
      <c r="A328" s="106"/>
    </row>
    <row r="329" spans="1:1" hidden="1" x14ac:dyDescent="0.25">
      <c r="A329" s="106"/>
    </row>
    <row r="330" spans="1:1" hidden="1" x14ac:dyDescent="0.25">
      <c r="A330" s="106"/>
    </row>
    <row r="331" spans="1:1" hidden="1" x14ac:dyDescent="0.25">
      <c r="A331" s="106"/>
    </row>
    <row r="332" spans="1:1" hidden="1" x14ac:dyDescent="0.25">
      <c r="A332" s="106"/>
    </row>
    <row r="333" spans="1:1" hidden="1" x14ac:dyDescent="0.25">
      <c r="A333" s="106"/>
    </row>
    <row r="334" spans="1:1" hidden="1" x14ac:dyDescent="0.25">
      <c r="A334" s="106"/>
    </row>
    <row r="335" spans="1:1" hidden="1" x14ac:dyDescent="0.25">
      <c r="A335" s="106"/>
    </row>
    <row r="336" spans="1:1" hidden="1" x14ac:dyDescent="0.25">
      <c r="A336" s="106"/>
    </row>
    <row r="337" spans="1:1" hidden="1" x14ac:dyDescent="0.25">
      <c r="A337" s="106"/>
    </row>
    <row r="338" spans="1:1" hidden="1" x14ac:dyDescent="0.25">
      <c r="A338" s="106"/>
    </row>
    <row r="339" spans="1:1" hidden="1" x14ac:dyDescent="0.25">
      <c r="A339" s="106"/>
    </row>
    <row r="340" spans="1:1" hidden="1" x14ac:dyDescent="0.25">
      <c r="A340" s="106"/>
    </row>
    <row r="341" spans="1:1" hidden="1" x14ac:dyDescent="0.25">
      <c r="A341" s="106"/>
    </row>
    <row r="342" spans="1:1" hidden="1" x14ac:dyDescent="0.25">
      <c r="A342" s="106"/>
    </row>
    <row r="343" spans="1:1" hidden="1" x14ac:dyDescent="0.25">
      <c r="A343" s="106"/>
    </row>
    <row r="344" spans="1:1" hidden="1" x14ac:dyDescent="0.25">
      <c r="A344" s="106"/>
    </row>
    <row r="345" spans="1:1" hidden="1" x14ac:dyDescent="0.25">
      <c r="A345" s="106"/>
    </row>
    <row r="346" spans="1:1" hidden="1" x14ac:dyDescent="0.25">
      <c r="A346" s="106"/>
    </row>
    <row r="347" spans="1:1" hidden="1" x14ac:dyDescent="0.25">
      <c r="A347" s="106"/>
    </row>
    <row r="348" spans="1:1" hidden="1" x14ac:dyDescent="0.25">
      <c r="A348" s="106"/>
    </row>
    <row r="349" spans="1:1" hidden="1" x14ac:dyDescent="0.25">
      <c r="A349" s="106"/>
    </row>
    <row r="350" spans="1:1" hidden="1" x14ac:dyDescent="0.25">
      <c r="A350" s="106"/>
    </row>
    <row r="351" spans="1:1" hidden="1" x14ac:dyDescent="0.25">
      <c r="A351" s="106"/>
    </row>
    <row r="352" spans="1:1" hidden="1" x14ac:dyDescent="0.25">
      <c r="A352" s="106"/>
    </row>
    <row r="353" spans="1:1" hidden="1" x14ac:dyDescent="0.25">
      <c r="A353" s="106"/>
    </row>
    <row r="354" spans="1:1" hidden="1" x14ac:dyDescent="0.25">
      <c r="A354" s="106"/>
    </row>
    <row r="355" spans="1:1" hidden="1" x14ac:dyDescent="0.25">
      <c r="A355" s="106"/>
    </row>
    <row r="356" spans="1:1" hidden="1" x14ac:dyDescent="0.25">
      <c r="A356" s="106"/>
    </row>
    <row r="357" spans="1:1" hidden="1" x14ac:dyDescent="0.25">
      <c r="A357" s="106"/>
    </row>
    <row r="358" spans="1:1" hidden="1" x14ac:dyDescent="0.25">
      <c r="A358" s="106"/>
    </row>
    <row r="359" spans="1:1" hidden="1" x14ac:dyDescent="0.25">
      <c r="A359" s="106"/>
    </row>
    <row r="360" spans="1:1" hidden="1" x14ac:dyDescent="0.25">
      <c r="A360" s="106"/>
    </row>
    <row r="361" spans="1:1" hidden="1" x14ac:dyDescent="0.25">
      <c r="A361" s="106"/>
    </row>
    <row r="362" spans="1:1" hidden="1" x14ac:dyDescent="0.25">
      <c r="A362" s="106"/>
    </row>
    <row r="363" spans="1:1" hidden="1" x14ac:dyDescent="0.25">
      <c r="A363" s="106"/>
    </row>
    <row r="364" spans="1:1" hidden="1" x14ac:dyDescent="0.25">
      <c r="A364" s="106"/>
    </row>
    <row r="365" spans="1:1" hidden="1" x14ac:dyDescent="0.25">
      <c r="A365" s="106"/>
    </row>
    <row r="366" spans="1:1" hidden="1" x14ac:dyDescent="0.25">
      <c r="A366" s="106"/>
    </row>
    <row r="367" spans="1:1" hidden="1" x14ac:dyDescent="0.25">
      <c r="A367" s="106"/>
    </row>
    <row r="368" spans="1:1" hidden="1" x14ac:dyDescent="0.25">
      <c r="A368" s="106"/>
    </row>
    <row r="369" spans="1:1" hidden="1" x14ac:dyDescent="0.25">
      <c r="A369" s="106"/>
    </row>
    <row r="370" spans="1:1" hidden="1" x14ac:dyDescent="0.25">
      <c r="A370" s="106"/>
    </row>
    <row r="371" spans="1:1" hidden="1" x14ac:dyDescent="0.25">
      <c r="A371" s="106"/>
    </row>
    <row r="372" spans="1:1" hidden="1" x14ac:dyDescent="0.25">
      <c r="A372" s="106"/>
    </row>
    <row r="373" spans="1:1" hidden="1" x14ac:dyDescent="0.25">
      <c r="A373" s="106"/>
    </row>
    <row r="374" spans="1:1" hidden="1" x14ac:dyDescent="0.25">
      <c r="A374" s="106"/>
    </row>
    <row r="375" spans="1:1" hidden="1" x14ac:dyDescent="0.25">
      <c r="A375" s="106"/>
    </row>
    <row r="376" spans="1:1" hidden="1" x14ac:dyDescent="0.25">
      <c r="A376" s="106"/>
    </row>
    <row r="377" spans="1:1" hidden="1" x14ac:dyDescent="0.25">
      <c r="A377" s="106"/>
    </row>
    <row r="378" spans="1:1" hidden="1" x14ac:dyDescent="0.25">
      <c r="A378" s="106"/>
    </row>
    <row r="379" spans="1:1" hidden="1" x14ac:dyDescent="0.25">
      <c r="A379" s="106"/>
    </row>
    <row r="380" spans="1:1" hidden="1" x14ac:dyDescent="0.25">
      <c r="A380" s="106"/>
    </row>
    <row r="381" spans="1:1" hidden="1" x14ac:dyDescent="0.25">
      <c r="A381" s="106"/>
    </row>
    <row r="382" spans="1:1" hidden="1" x14ac:dyDescent="0.25">
      <c r="A382" s="106"/>
    </row>
    <row r="383" spans="1:1" hidden="1" x14ac:dyDescent="0.25">
      <c r="A383" s="106"/>
    </row>
    <row r="384" spans="1:1" hidden="1" x14ac:dyDescent="0.25">
      <c r="A384" s="106"/>
    </row>
    <row r="385" spans="1:1" hidden="1" x14ac:dyDescent="0.25">
      <c r="A385" s="106"/>
    </row>
    <row r="386" spans="1:1" hidden="1" x14ac:dyDescent="0.25">
      <c r="A386" s="106"/>
    </row>
    <row r="387" spans="1:1" hidden="1" x14ac:dyDescent="0.25">
      <c r="A387" s="106"/>
    </row>
    <row r="388" spans="1:1" hidden="1" x14ac:dyDescent="0.25">
      <c r="A388" s="106"/>
    </row>
    <row r="389" spans="1:1" hidden="1" x14ac:dyDescent="0.25">
      <c r="A389" s="106"/>
    </row>
    <row r="390" spans="1:1" hidden="1" x14ac:dyDescent="0.25">
      <c r="A390" s="106"/>
    </row>
    <row r="391" spans="1:1" hidden="1" x14ac:dyDescent="0.25">
      <c r="A391" s="106"/>
    </row>
    <row r="392" spans="1:1" hidden="1" x14ac:dyDescent="0.25">
      <c r="A392" s="106"/>
    </row>
    <row r="393" spans="1:1" hidden="1" x14ac:dyDescent="0.25">
      <c r="A393" s="106"/>
    </row>
    <row r="394" spans="1:1" hidden="1" x14ac:dyDescent="0.25">
      <c r="A394" s="106"/>
    </row>
    <row r="395" spans="1:1" hidden="1" x14ac:dyDescent="0.25">
      <c r="A395" s="106"/>
    </row>
    <row r="396" spans="1:1" hidden="1" x14ac:dyDescent="0.25">
      <c r="A396" s="106"/>
    </row>
    <row r="397" spans="1:1" hidden="1" x14ac:dyDescent="0.25">
      <c r="A397" s="106"/>
    </row>
    <row r="398" spans="1:1" hidden="1" x14ac:dyDescent="0.25">
      <c r="A398" s="106"/>
    </row>
    <row r="399" spans="1:1" hidden="1" x14ac:dyDescent="0.25">
      <c r="A399" s="106"/>
    </row>
    <row r="400" spans="1:1" hidden="1" x14ac:dyDescent="0.25">
      <c r="A400" s="106"/>
    </row>
    <row r="401" spans="1:1" hidden="1" x14ac:dyDescent="0.25">
      <c r="A401" s="106"/>
    </row>
    <row r="402" spans="1:1" hidden="1" x14ac:dyDescent="0.25">
      <c r="A402" s="106"/>
    </row>
    <row r="403" spans="1:1" hidden="1" x14ac:dyDescent="0.25">
      <c r="A403" s="106"/>
    </row>
    <row r="404" spans="1:1" hidden="1" x14ac:dyDescent="0.25">
      <c r="A404" s="106"/>
    </row>
    <row r="405" spans="1:1" hidden="1" x14ac:dyDescent="0.25">
      <c r="A405" s="106"/>
    </row>
    <row r="406" spans="1:1" hidden="1" x14ac:dyDescent="0.25">
      <c r="A406" s="106"/>
    </row>
    <row r="407" spans="1:1" hidden="1" x14ac:dyDescent="0.25">
      <c r="A407" s="106"/>
    </row>
    <row r="408" spans="1:1" hidden="1" x14ac:dyDescent="0.25">
      <c r="A408" s="106"/>
    </row>
    <row r="409" spans="1:1" hidden="1" x14ac:dyDescent="0.25">
      <c r="A409" s="106"/>
    </row>
    <row r="410" spans="1:1" hidden="1" x14ac:dyDescent="0.25">
      <c r="A410" s="106"/>
    </row>
    <row r="411" spans="1:1" hidden="1" x14ac:dyDescent="0.25">
      <c r="A411" s="106"/>
    </row>
    <row r="412" spans="1:1" hidden="1" x14ac:dyDescent="0.25">
      <c r="A412" s="106"/>
    </row>
    <row r="413" spans="1:1" hidden="1" x14ac:dyDescent="0.25">
      <c r="A413" s="106"/>
    </row>
    <row r="414" spans="1:1" hidden="1" x14ac:dyDescent="0.25">
      <c r="A414" s="106"/>
    </row>
    <row r="415" spans="1:1" hidden="1" x14ac:dyDescent="0.25">
      <c r="A415" s="106"/>
    </row>
    <row r="416" spans="1:1" hidden="1" x14ac:dyDescent="0.25">
      <c r="A416" s="106"/>
    </row>
    <row r="417" spans="1:1" hidden="1" x14ac:dyDescent="0.25">
      <c r="A417" s="106"/>
    </row>
    <row r="418" spans="1:1" hidden="1" x14ac:dyDescent="0.25">
      <c r="A418" s="106"/>
    </row>
    <row r="419" spans="1:1" hidden="1" x14ac:dyDescent="0.25">
      <c r="A419" s="106"/>
    </row>
    <row r="420" spans="1:1" hidden="1" x14ac:dyDescent="0.25">
      <c r="A420" s="106"/>
    </row>
    <row r="421" spans="1:1" hidden="1" x14ac:dyDescent="0.25">
      <c r="A421" s="106"/>
    </row>
    <row r="422" spans="1:1" hidden="1" x14ac:dyDescent="0.25">
      <c r="A422" s="106"/>
    </row>
    <row r="423" spans="1:1" hidden="1" x14ac:dyDescent="0.25">
      <c r="A423" s="106"/>
    </row>
    <row r="424" spans="1:1" hidden="1" x14ac:dyDescent="0.25">
      <c r="A424" s="106"/>
    </row>
    <row r="425" spans="1:1" hidden="1" x14ac:dyDescent="0.25">
      <c r="A425" s="106"/>
    </row>
    <row r="426" spans="1:1" hidden="1" x14ac:dyDescent="0.25">
      <c r="A426" s="106"/>
    </row>
    <row r="427" spans="1:1" hidden="1" x14ac:dyDescent="0.25">
      <c r="A427" s="106"/>
    </row>
    <row r="428" spans="1:1" hidden="1" x14ac:dyDescent="0.25">
      <c r="A428" s="106"/>
    </row>
    <row r="429" spans="1:1" hidden="1" x14ac:dyDescent="0.25">
      <c r="A429" s="106"/>
    </row>
    <row r="430" spans="1:1" hidden="1" x14ac:dyDescent="0.25">
      <c r="A430" s="106"/>
    </row>
    <row r="431" spans="1:1" hidden="1" x14ac:dyDescent="0.25">
      <c r="A431" s="106"/>
    </row>
    <row r="432" spans="1:1" hidden="1" x14ac:dyDescent="0.25">
      <c r="A432" s="106"/>
    </row>
    <row r="433" spans="1:1" hidden="1" x14ac:dyDescent="0.25">
      <c r="A433" s="106"/>
    </row>
    <row r="434" spans="1:1" hidden="1" x14ac:dyDescent="0.25">
      <c r="A434" s="106"/>
    </row>
    <row r="435" spans="1:1" hidden="1" x14ac:dyDescent="0.25">
      <c r="A435" s="106"/>
    </row>
    <row r="436" spans="1:1" hidden="1" x14ac:dyDescent="0.25">
      <c r="A436" s="106"/>
    </row>
    <row r="437" spans="1:1" hidden="1" x14ac:dyDescent="0.25">
      <c r="A437" s="106"/>
    </row>
    <row r="438" spans="1:1" hidden="1" x14ac:dyDescent="0.25">
      <c r="A438" s="106"/>
    </row>
    <row r="439" spans="1:1" hidden="1" x14ac:dyDescent="0.25">
      <c r="A439" s="106"/>
    </row>
    <row r="440" spans="1:1" hidden="1" x14ac:dyDescent="0.25">
      <c r="A440" s="106"/>
    </row>
    <row r="441" spans="1:1" hidden="1" x14ac:dyDescent="0.25">
      <c r="A441" s="106"/>
    </row>
    <row r="442" spans="1:1" hidden="1" x14ac:dyDescent="0.25">
      <c r="A442" s="106"/>
    </row>
    <row r="443" spans="1:1" hidden="1" x14ac:dyDescent="0.25">
      <c r="A443" s="106"/>
    </row>
    <row r="444" spans="1:1" hidden="1" x14ac:dyDescent="0.25">
      <c r="A444" s="106"/>
    </row>
    <row r="445" spans="1:1" hidden="1" x14ac:dyDescent="0.25">
      <c r="A445" s="106"/>
    </row>
    <row r="446" spans="1:1" hidden="1" x14ac:dyDescent="0.25">
      <c r="A446" s="106"/>
    </row>
    <row r="447" spans="1:1" hidden="1" x14ac:dyDescent="0.25">
      <c r="A447" s="106"/>
    </row>
    <row r="448" spans="1:1" hidden="1" x14ac:dyDescent="0.25">
      <c r="A448" s="106"/>
    </row>
    <row r="449" spans="1:1" hidden="1" x14ac:dyDescent="0.25">
      <c r="A449" s="106"/>
    </row>
    <row r="450" spans="1:1" hidden="1" x14ac:dyDescent="0.25">
      <c r="A450" s="106"/>
    </row>
    <row r="451" spans="1:1" hidden="1" x14ac:dyDescent="0.25">
      <c r="A451" s="106"/>
    </row>
    <row r="452" spans="1:1" hidden="1" x14ac:dyDescent="0.25">
      <c r="A452" s="106"/>
    </row>
    <row r="453" spans="1:1" hidden="1" x14ac:dyDescent="0.25">
      <c r="A453" s="106"/>
    </row>
    <row r="454" spans="1:1" hidden="1" x14ac:dyDescent="0.25">
      <c r="A454" s="106"/>
    </row>
    <row r="455" spans="1:1" hidden="1" x14ac:dyDescent="0.25">
      <c r="A455" s="106"/>
    </row>
    <row r="456" spans="1:1" hidden="1" x14ac:dyDescent="0.25">
      <c r="A456" s="106"/>
    </row>
    <row r="457" spans="1:1" hidden="1" x14ac:dyDescent="0.25">
      <c r="A457" s="106"/>
    </row>
    <row r="458" spans="1:1" hidden="1" x14ac:dyDescent="0.25">
      <c r="A458" s="106"/>
    </row>
    <row r="459" spans="1:1" hidden="1" x14ac:dyDescent="0.25">
      <c r="A459" s="106"/>
    </row>
    <row r="460" spans="1:1" hidden="1" x14ac:dyDescent="0.25">
      <c r="A460" s="106"/>
    </row>
    <row r="461" spans="1:1" hidden="1" x14ac:dyDescent="0.25">
      <c r="A461" s="106"/>
    </row>
    <row r="462" spans="1:1" hidden="1" x14ac:dyDescent="0.25">
      <c r="A462" s="106"/>
    </row>
    <row r="463" spans="1:1" hidden="1" x14ac:dyDescent="0.25">
      <c r="A463" s="106"/>
    </row>
    <row r="464" spans="1:1" hidden="1" x14ac:dyDescent="0.25">
      <c r="A464" s="106"/>
    </row>
    <row r="465" spans="1:1" hidden="1" x14ac:dyDescent="0.25">
      <c r="A465" s="106"/>
    </row>
    <row r="466" spans="1:1" hidden="1" x14ac:dyDescent="0.25">
      <c r="A466" s="106"/>
    </row>
    <row r="467" spans="1:1" hidden="1" x14ac:dyDescent="0.25">
      <c r="A467" s="106"/>
    </row>
    <row r="468" spans="1:1" hidden="1" x14ac:dyDescent="0.25">
      <c r="A468" s="106"/>
    </row>
    <row r="469" spans="1:1" hidden="1" x14ac:dyDescent="0.25">
      <c r="A469" s="106"/>
    </row>
    <row r="470" spans="1:1" hidden="1" x14ac:dyDescent="0.25">
      <c r="A470" s="106"/>
    </row>
    <row r="471" spans="1:1" hidden="1" x14ac:dyDescent="0.25">
      <c r="A471" s="106"/>
    </row>
    <row r="472" spans="1:1" hidden="1" x14ac:dyDescent="0.25">
      <c r="A472" s="106"/>
    </row>
    <row r="473" spans="1:1" hidden="1" x14ac:dyDescent="0.25">
      <c r="A473" s="106"/>
    </row>
    <row r="474" spans="1:1" hidden="1" x14ac:dyDescent="0.25">
      <c r="A474" s="106"/>
    </row>
    <row r="475" spans="1:1" hidden="1" x14ac:dyDescent="0.25">
      <c r="A475" s="106"/>
    </row>
    <row r="476" spans="1:1" hidden="1" x14ac:dyDescent="0.25">
      <c r="A476" s="106"/>
    </row>
    <row r="477" spans="1:1" hidden="1" x14ac:dyDescent="0.25">
      <c r="A477" s="106"/>
    </row>
    <row r="478" spans="1:1" hidden="1" x14ac:dyDescent="0.25">
      <c r="A478" s="106"/>
    </row>
    <row r="479" spans="1:1" hidden="1" x14ac:dyDescent="0.25">
      <c r="A479" s="106"/>
    </row>
    <row r="480" spans="1:1" hidden="1" x14ac:dyDescent="0.25">
      <c r="A480" s="106"/>
    </row>
    <row r="481" spans="1:1" hidden="1" x14ac:dyDescent="0.25">
      <c r="A481" s="106"/>
    </row>
    <row r="482" spans="1:1" hidden="1" x14ac:dyDescent="0.25">
      <c r="A482" s="106"/>
    </row>
    <row r="483" spans="1:1" hidden="1" x14ac:dyDescent="0.25">
      <c r="A483" s="106"/>
    </row>
    <row r="484" spans="1:1" hidden="1" x14ac:dyDescent="0.25">
      <c r="A484" s="106"/>
    </row>
    <row r="485" spans="1:1" hidden="1" x14ac:dyDescent="0.25">
      <c r="A485" s="106"/>
    </row>
    <row r="486" spans="1:1" hidden="1" x14ac:dyDescent="0.25">
      <c r="A486" s="106"/>
    </row>
    <row r="487" spans="1:1" hidden="1" x14ac:dyDescent="0.25">
      <c r="A487" s="106"/>
    </row>
    <row r="488" spans="1:1" hidden="1" x14ac:dyDescent="0.25">
      <c r="A488" s="106"/>
    </row>
    <row r="489" spans="1:1" hidden="1" x14ac:dyDescent="0.25">
      <c r="A489" s="106"/>
    </row>
    <row r="490" spans="1:1" hidden="1" x14ac:dyDescent="0.25">
      <c r="A490" s="106"/>
    </row>
    <row r="491" spans="1:1" hidden="1" x14ac:dyDescent="0.25">
      <c r="A491" s="106"/>
    </row>
    <row r="492" spans="1:1" hidden="1" x14ac:dyDescent="0.25">
      <c r="A492" s="106"/>
    </row>
    <row r="493" spans="1:1" hidden="1" x14ac:dyDescent="0.25">
      <c r="A493" s="106"/>
    </row>
    <row r="494" spans="1:1" hidden="1" x14ac:dyDescent="0.25">
      <c r="A494" s="106"/>
    </row>
    <row r="495" spans="1:1" hidden="1" x14ac:dyDescent="0.25">
      <c r="A495" s="106"/>
    </row>
    <row r="496" spans="1:1" hidden="1" x14ac:dyDescent="0.25">
      <c r="A496" s="106"/>
    </row>
    <row r="497" spans="1:1" hidden="1" x14ac:dyDescent="0.25">
      <c r="A497" s="106"/>
    </row>
    <row r="498" spans="1:1" hidden="1" x14ac:dyDescent="0.25">
      <c r="A498" s="106"/>
    </row>
    <row r="499" spans="1:1" hidden="1" x14ac:dyDescent="0.25">
      <c r="A499" s="106"/>
    </row>
    <row r="500" spans="1:1" hidden="1" x14ac:dyDescent="0.25">
      <c r="A500" s="106"/>
    </row>
    <row r="501" spans="1:1" hidden="1" x14ac:dyDescent="0.25">
      <c r="A501" s="106"/>
    </row>
    <row r="502" spans="1:1" hidden="1" x14ac:dyDescent="0.25">
      <c r="A502" s="106"/>
    </row>
    <row r="503" spans="1:1" hidden="1" x14ac:dyDescent="0.25">
      <c r="A503" s="106"/>
    </row>
    <row r="504" spans="1:1" hidden="1" x14ac:dyDescent="0.25">
      <c r="A504" s="106"/>
    </row>
    <row r="505" spans="1:1" hidden="1" x14ac:dyDescent="0.25">
      <c r="A505" s="106"/>
    </row>
    <row r="506" spans="1:1" hidden="1" x14ac:dyDescent="0.25">
      <c r="A506" s="106"/>
    </row>
    <row r="507" spans="1:1" hidden="1" x14ac:dyDescent="0.25">
      <c r="A507" s="106"/>
    </row>
    <row r="508" spans="1:1" hidden="1" x14ac:dyDescent="0.25">
      <c r="A508" s="106"/>
    </row>
    <row r="509" spans="1:1" hidden="1" x14ac:dyDescent="0.25">
      <c r="A509" s="106"/>
    </row>
    <row r="510" spans="1:1" hidden="1" x14ac:dyDescent="0.25">
      <c r="A510" s="106"/>
    </row>
    <row r="511" spans="1:1" hidden="1" x14ac:dyDescent="0.25">
      <c r="A511" s="106"/>
    </row>
    <row r="512" spans="1:1" hidden="1" x14ac:dyDescent="0.25">
      <c r="A512" s="106"/>
    </row>
    <row r="513" spans="1:1" hidden="1" x14ac:dyDescent="0.25">
      <c r="A513" s="106"/>
    </row>
    <row r="514" spans="1:1" hidden="1" x14ac:dyDescent="0.25">
      <c r="A514" s="106"/>
    </row>
    <row r="515" spans="1:1" hidden="1" x14ac:dyDescent="0.25">
      <c r="A515" s="106"/>
    </row>
    <row r="516" spans="1:1" hidden="1" x14ac:dyDescent="0.25">
      <c r="A516" s="106"/>
    </row>
    <row r="517" spans="1:1" hidden="1" x14ac:dyDescent="0.25">
      <c r="A517" s="106"/>
    </row>
    <row r="518" spans="1:1" hidden="1" x14ac:dyDescent="0.25">
      <c r="A518" s="106"/>
    </row>
    <row r="519" spans="1:1" hidden="1" x14ac:dyDescent="0.25">
      <c r="A519" s="106"/>
    </row>
    <row r="520" spans="1:1" hidden="1" x14ac:dyDescent="0.25">
      <c r="A520" s="106"/>
    </row>
    <row r="521" spans="1:1" hidden="1" x14ac:dyDescent="0.25">
      <c r="A521" s="106"/>
    </row>
    <row r="522" spans="1:1" hidden="1" x14ac:dyDescent="0.25">
      <c r="A522" s="106"/>
    </row>
    <row r="523" spans="1:1" hidden="1" x14ac:dyDescent="0.25">
      <c r="A523" s="106"/>
    </row>
    <row r="524" spans="1:1" hidden="1" x14ac:dyDescent="0.25">
      <c r="A524" s="106"/>
    </row>
    <row r="525" spans="1:1" hidden="1" x14ac:dyDescent="0.25">
      <c r="A525" s="106"/>
    </row>
    <row r="526" spans="1:1" hidden="1" x14ac:dyDescent="0.25">
      <c r="A526" s="106"/>
    </row>
    <row r="527" spans="1:1" hidden="1" x14ac:dyDescent="0.25">
      <c r="A527" s="106"/>
    </row>
    <row r="528" spans="1:1" hidden="1" x14ac:dyDescent="0.25">
      <c r="A528" s="106"/>
    </row>
    <row r="529" spans="1:1" hidden="1" x14ac:dyDescent="0.25">
      <c r="A529" s="106"/>
    </row>
    <row r="530" spans="1:1" hidden="1" x14ac:dyDescent="0.25">
      <c r="A530" s="106"/>
    </row>
    <row r="531" spans="1:1" hidden="1" x14ac:dyDescent="0.25">
      <c r="A531" s="106"/>
    </row>
    <row r="532" spans="1:1" hidden="1" x14ac:dyDescent="0.25">
      <c r="A532" s="106"/>
    </row>
    <row r="533" spans="1:1" hidden="1" x14ac:dyDescent="0.25">
      <c r="A533" s="106"/>
    </row>
    <row r="534" spans="1:1" hidden="1" x14ac:dyDescent="0.25">
      <c r="A534" s="106"/>
    </row>
    <row r="535" spans="1:1" x14ac:dyDescent="0.25">
      <c r="A535" s="106"/>
    </row>
    <row r="536" spans="1:1" x14ac:dyDescent="0.25">
      <c r="A536" s="106"/>
    </row>
    <row r="537" spans="1:1" x14ac:dyDescent="0.25">
      <c r="A537" s="106"/>
    </row>
    <row r="538" spans="1:1" x14ac:dyDescent="0.25">
      <c r="A538" s="106"/>
    </row>
    <row r="539" spans="1:1" x14ac:dyDescent="0.25">
      <c r="A539" s="106"/>
    </row>
    <row r="540" spans="1:1" x14ac:dyDescent="0.25">
      <c r="A540" s="106"/>
    </row>
    <row r="541" spans="1:1" x14ac:dyDescent="0.25">
      <c r="A541" s="106"/>
    </row>
    <row r="542" spans="1:1" x14ac:dyDescent="0.25">
      <c r="A542" s="106"/>
    </row>
    <row r="543" spans="1:1" x14ac:dyDescent="0.25">
      <c r="A543" s="106"/>
    </row>
    <row r="544" spans="1:1" x14ac:dyDescent="0.25">
      <c r="A544" s="106"/>
    </row>
    <row r="545" spans="1:1" x14ac:dyDescent="0.25">
      <c r="A545" s="106"/>
    </row>
    <row r="546" spans="1:1" x14ac:dyDescent="0.25">
      <c r="A546" s="106"/>
    </row>
    <row r="547" spans="1:1" x14ac:dyDescent="0.25">
      <c r="A547" s="106"/>
    </row>
    <row r="548" spans="1:1" x14ac:dyDescent="0.25">
      <c r="A548" s="106"/>
    </row>
    <row r="549" spans="1:1" x14ac:dyDescent="0.25">
      <c r="A549" s="106"/>
    </row>
    <row r="550" spans="1:1" x14ac:dyDescent="0.25">
      <c r="A550" s="106"/>
    </row>
    <row r="551" spans="1:1" x14ac:dyDescent="0.25">
      <c r="A551" s="106"/>
    </row>
    <row r="552" spans="1:1" x14ac:dyDescent="0.25">
      <c r="A552" s="106"/>
    </row>
    <row r="553" spans="1:1" x14ac:dyDescent="0.25">
      <c r="A553" s="106"/>
    </row>
    <row r="554" spans="1:1" x14ac:dyDescent="0.25">
      <c r="A554" s="106"/>
    </row>
    <row r="555" spans="1:1" x14ac:dyDescent="0.25">
      <c r="A555" s="106"/>
    </row>
    <row r="556" spans="1:1" x14ac:dyDescent="0.25">
      <c r="A556" s="106"/>
    </row>
    <row r="557" spans="1:1" x14ac:dyDescent="0.25">
      <c r="A557" s="106"/>
    </row>
    <row r="558" spans="1:1" x14ac:dyDescent="0.25">
      <c r="A558" s="106"/>
    </row>
    <row r="559" spans="1:1" x14ac:dyDescent="0.25">
      <c r="A559" s="106"/>
    </row>
    <row r="560" spans="1:1" x14ac:dyDescent="0.25">
      <c r="A560" s="106"/>
    </row>
    <row r="561" spans="1:1" x14ac:dyDescent="0.25">
      <c r="A561" s="106"/>
    </row>
    <row r="562" spans="1:1" x14ac:dyDescent="0.25">
      <c r="A562" s="106"/>
    </row>
    <row r="563" spans="1:1" x14ac:dyDescent="0.25">
      <c r="A563" s="106"/>
    </row>
    <row r="564" spans="1:1" x14ac:dyDescent="0.25">
      <c r="A564" s="106"/>
    </row>
    <row r="565" spans="1:1" x14ac:dyDescent="0.25">
      <c r="A565" s="106"/>
    </row>
    <row r="566" spans="1:1" x14ac:dyDescent="0.25">
      <c r="A566" s="106"/>
    </row>
    <row r="567" spans="1:1" x14ac:dyDescent="0.25">
      <c r="A567" s="106"/>
    </row>
    <row r="568" spans="1:1" x14ac:dyDescent="0.25">
      <c r="A568" s="106"/>
    </row>
    <row r="569" spans="1:1" x14ac:dyDescent="0.25">
      <c r="A569" s="106"/>
    </row>
    <row r="570" spans="1:1" x14ac:dyDescent="0.25">
      <c r="A570" s="106"/>
    </row>
    <row r="571" spans="1:1" x14ac:dyDescent="0.25">
      <c r="A571" s="106"/>
    </row>
    <row r="572" spans="1:1" x14ac:dyDescent="0.25">
      <c r="A572" s="106"/>
    </row>
    <row r="573" spans="1:1" x14ac:dyDescent="0.25">
      <c r="A573" s="106"/>
    </row>
    <row r="574" spans="1:1" x14ac:dyDescent="0.25">
      <c r="A574" s="106"/>
    </row>
    <row r="575" spans="1:1" x14ac:dyDescent="0.25">
      <c r="A575" s="106"/>
    </row>
    <row r="576" spans="1:1" x14ac:dyDescent="0.25">
      <c r="A576" s="106"/>
    </row>
    <row r="577" spans="1:1" x14ac:dyDescent="0.25">
      <c r="A577" s="106"/>
    </row>
    <row r="578" spans="1:1" x14ac:dyDescent="0.25">
      <c r="A578" s="106"/>
    </row>
    <row r="579" spans="1:1" x14ac:dyDescent="0.25">
      <c r="A579" s="106"/>
    </row>
    <row r="580" spans="1:1" x14ac:dyDescent="0.25">
      <c r="A580" s="106"/>
    </row>
    <row r="581" spans="1:1" x14ac:dyDescent="0.25">
      <c r="A581" s="106"/>
    </row>
    <row r="582" spans="1:1" x14ac:dyDescent="0.25">
      <c r="A582" s="106"/>
    </row>
    <row r="583" spans="1:1" x14ac:dyDescent="0.25">
      <c r="A583" s="106"/>
    </row>
    <row r="584" spans="1:1" x14ac:dyDescent="0.25">
      <c r="A584" s="106"/>
    </row>
    <row r="585" spans="1:1" x14ac:dyDescent="0.25">
      <c r="A585" s="106"/>
    </row>
    <row r="586" spans="1:1" x14ac:dyDescent="0.25">
      <c r="A586" s="106"/>
    </row>
    <row r="587" spans="1:1" x14ac:dyDescent="0.25">
      <c r="A587" s="106"/>
    </row>
    <row r="588" spans="1:1" x14ac:dyDescent="0.25">
      <c r="A588" s="106"/>
    </row>
    <row r="589" spans="1:1" x14ac:dyDescent="0.25">
      <c r="A589" s="106"/>
    </row>
    <row r="590" spans="1:1" x14ac:dyDescent="0.25">
      <c r="A590" s="106"/>
    </row>
    <row r="591" spans="1:1" x14ac:dyDescent="0.25">
      <c r="A591" s="106"/>
    </row>
    <row r="592" spans="1:1" x14ac:dyDescent="0.25">
      <c r="A592" s="106"/>
    </row>
    <row r="593" spans="1:1" x14ac:dyDescent="0.25">
      <c r="A593" s="106"/>
    </row>
    <row r="594" spans="1:1" x14ac:dyDescent="0.25">
      <c r="A594" s="106"/>
    </row>
    <row r="595" spans="1:1" x14ac:dyDescent="0.25">
      <c r="A595" s="106"/>
    </row>
    <row r="596" spans="1:1" x14ac:dyDescent="0.25">
      <c r="A596" s="106"/>
    </row>
    <row r="597" spans="1:1" x14ac:dyDescent="0.25">
      <c r="A597" s="106"/>
    </row>
    <row r="598" spans="1:1" x14ac:dyDescent="0.25">
      <c r="A598" s="106"/>
    </row>
    <row r="599" spans="1:1" x14ac:dyDescent="0.25">
      <c r="A599" s="106"/>
    </row>
    <row r="600" spans="1:1" x14ac:dyDescent="0.25">
      <c r="A600" s="106"/>
    </row>
    <row r="601" spans="1:1" x14ac:dyDescent="0.25">
      <c r="A601" s="106"/>
    </row>
    <row r="602" spans="1:1" x14ac:dyDescent="0.25">
      <c r="A602" s="106"/>
    </row>
    <row r="603" spans="1:1" x14ac:dyDescent="0.25">
      <c r="A603" s="106"/>
    </row>
    <row r="604" spans="1:1" x14ac:dyDescent="0.25">
      <c r="A604" s="106"/>
    </row>
    <row r="605" spans="1:1" x14ac:dyDescent="0.25">
      <c r="A605" s="106"/>
    </row>
    <row r="606" spans="1:1" x14ac:dyDescent="0.25">
      <c r="A606" s="106"/>
    </row>
    <row r="607" spans="1:1" x14ac:dyDescent="0.25">
      <c r="A607" s="106"/>
    </row>
    <row r="608" spans="1:1" x14ac:dyDescent="0.25">
      <c r="A608" s="106"/>
    </row>
    <row r="609" spans="1:1" x14ac:dyDescent="0.25">
      <c r="A609" s="106"/>
    </row>
    <row r="610" spans="1:1" x14ac:dyDescent="0.25">
      <c r="A610" s="106"/>
    </row>
    <row r="611" spans="1:1" x14ac:dyDescent="0.25">
      <c r="A611" s="106"/>
    </row>
    <row r="612" spans="1:1" x14ac:dyDescent="0.25">
      <c r="A612" s="106"/>
    </row>
    <row r="613" spans="1:1" x14ac:dyDescent="0.25">
      <c r="A613" s="106"/>
    </row>
    <row r="614" spans="1:1" x14ac:dyDescent="0.25">
      <c r="A614" s="106"/>
    </row>
    <row r="615" spans="1:1" x14ac:dyDescent="0.25">
      <c r="A615" s="106"/>
    </row>
    <row r="616" spans="1:1" x14ac:dyDescent="0.25">
      <c r="A616" s="106"/>
    </row>
    <row r="617" spans="1:1" x14ac:dyDescent="0.25">
      <c r="A617" s="106"/>
    </row>
    <row r="618" spans="1:1" x14ac:dyDescent="0.25">
      <c r="A618" s="106"/>
    </row>
    <row r="619" spans="1:1" x14ac:dyDescent="0.25">
      <c r="A619" s="106"/>
    </row>
    <row r="620" spans="1:1" x14ac:dyDescent="0.25">
      <c r="A620" s="106"/>
    </row>
    <row r="621" spans="1:1" x14ac:dyDescent="0.25">
      <c r="A621" s="106"/>
    </row>
    <row r="622" spans="1:1" x14ac:dyDescent="0.25">
      <c r="A622" s="106"/>
    </row>
    <row r="623" spans="1:1" x14ac:dyDescent="0.25">
      <c r="A623" s="106"/>
    </row>
    <row r="624" spans="1:1" x14ac:dyDescent="0.25">
      <c r="A624" s="106"/>
    </row>
    <row r="625" spans="1:1" x14ac:dyDescent="0.25">
      <c r="A625" s="106"/>
    </row>
    <row r="626" spans="1:1" x14ac:dyDescent="0.25">
      <c r="A626" s="106"/>
    </row>
    <row r="627" spans="1:1" x14ac:dyDescent="0.25">
      <c r="A627" s="106"/>
    </row>
    <row r="628" spans="1:1" x14ac:dyDescent="0.25">
      <c r="A628" s="106"/>
    </row>
    <row r="629" spans="1:1" x14ac:dyDescent="0.25">
      <c r="A629" s="106"/>
    </row>
    <row r="630" spans="1:1" x14ac:dyDescent="0.25">
      <c r="A630" s="106"/>
    </row>
    <row r="631" spans="1:1" x14ac:dyDescent="0.25">
      <c r="A631" s="106"/>
    </row>
    <row r="632" spans="1:1" x14ac:dyDescent="0.25">
      <c r="A632" s="106"/>
    </row>
    <row r="633" spans="1:1" x14ac:dyDescent="0.25">
      <c r="A633" s="106"/>
    </row>
    <row r="634" spans="1:1" x14ac:dyDescent="0.25">
      <c r="A634" s="106"/>
    </row>
    <row r="635" spans="1:1" x14ac:dyDescent="0.25">
      <c r="A635" s="106"/>
    </row>
    <row r="636" spans="1:1" x14ac:dyDescent="0.25">
      <c r="A636" s="106"/>
    </row>
    <row r="637" spans="1:1" x14ac:dyDescent="0.25">
      <c r="A637" s="106"/>
    </row>
    <row r="638" spans="1:1" x14ac:dyDescent="0.25">
      <c r="A638" s="106"/>
    </row>
    <row r="639" spans="1:1" x14ac:dyDescent="0.25">
      <c r="A639" s="106"/>
    </row>
    <row r="640" spans="1:1" x14ac:dyDescent="0.25">
      <c r="A640" s="106"/>
    </row>
    <row r="641" spans="1:1" x14ac:dyDescent="0.25">
      <c r="A641" s="106"/>
    </row>
    <row r="642" spans="1:1" x14ac:dyDescent="0.25">
      <c r="A642" s="106"/>
    </row>
    <row r="643" spans="1:1" x14ac:dyDescent="0.25">
      <c r="A643" s="106"/>
    </row>
    <row r="644" spans="1:1" x14ac:dyDescent="0.25">
      <c r="A644" s="106"/>
    </row>
    <row r="645" spans="1:1" x14ac:dyDescent="0.25">
      <c r="A645" s="106"/>
    </row>
    <row r="646" spans="1:1" x14ac:dyDescent="0.25">
      <c r="A646" s="106"/>
    </row>
    <row r="647" spans="1:1" x14ac:dyDescent="0.25">
      <c r="A647" s="106"/>
    </row>
    <row r="648" spans="1:1" x14ac:dyDescent="0.25">
      <c r="A648" s="106"/>
    </row>
    <row r="649" spans="1:1" x14ac:dyDescent="0.25">
      <c r="A649" s="106"/>
    </row>
    <row r="650" spans="1:1" x14ac:dyDescent="0.25">
      <c r="A650" s="106"/>
    </row>
    <row r="651" spans="1:1" x14ac:dyDescent="0.25">
      <c r="A651" s="106"/>
    </row>
    <row r="652" spans="1:1" x14ac:dyDescent="0.25">
      <c r="A652" s="106"/>
    </row>
    <row r="653" spans="1:1" x14ac:dyDescent="0.25">
      <c r="A653" s="106"/>
    </row>
    <row r="654" spans="1:1" x14ac:dyDescent="0.25">
      <c r="A654" s="106"/>
    </row>
    <row r="655" spans="1:1" x14ac:dyDescent="0.25">
      <c r="A655" s="106"/>
    </row>
    <row r="656" spans="1:1" x14ac:dyDescent="0.25">
      <c r="A656" s="106"/>
    </row>
    <row r="657" spans="1:1" x14ac:dyDescent="0.25">
      <c r="A657" s="106"/>
    </row>
    <row r="658" spans="1:1" x14ac:dyDescent="0.25">
      <c r="A658" s="106"/>
    </row>
    <row r="659" spans="1:1" x14ac:dyDescent="0.25">
      <c r="A659" s="106"/>
    </row>
    <row r="660" spans="1:1" x14ac:dyDescent="0.25">
      <c r="A660" s="106"/>
    </row>
    <row r="661" spans="1:1" x14ac:dyDescent="0.25">
      <c r="A661" s="106"/>
    </row>
    <row r="662" spans="1:1" x14ac:dyDescent="0.25">
      <c r="A662" s="106"/>
    </row>
    <row r="663" spans="1:1" x14ac:dyDescent="0.25">
      <c r="A663" s="106"/>
    </row>
    <row r="664" spans="1:1" x14ac:dyDescent="0.25">
      <c r="A664" s="106"/>
    </row>
    <row r="665" spans="1:1" x14ac:dyDescent="0.25">
      <c r="A665" s="106"/>
    </row>
    <row r="666" spans="1:1" x14ac:dyDescent="0.25">
      <c r="A666" s="106"/>
    </row>
    <row r="667" spans="1:1" x14ac:dyDescent="0.25">
      <c r="A667" s="106"/>
    </row>
    <row r="668" spans="1:1" x14ac:dyDescent="0.25">
      <c r="A668" s="106"/>
    </row>
    <row r="669" spans="1:1" x14ac:dyDescent="0.25">
      <c r="A669" s="106"/>
    </row>
    <row r="670" spans="1:1" x14ac:dyDescent="0.25">
      <c r="A670" s="106"/>
    </row>
    <row r="671" spans="1:1" x14ac:dyDescent="0.25">
      <c r="A671" s="106"/>
    </row>
    <row r="672" spans="1:1" x14ac:dyDescent="0.25">
      <c r="A672" s="106"/>
    </row>
    <row r="673" spans="1:1" x14ac:dyDescent="0.25">
      <c r="A673" s="106"/>
    </row>
    <row r="674" spans="1:1" x14ac:dyDescent="0.25">
      <c r="A674" s="106"/>
    </row>
    <row r="675" spans="1:1" x14ac:dyDescent="0.25">
      <c r="A675" s="106"/>
    </row>
    <row r="676" spans="1:1" x14ac:dyDescent="0.25">
      <c r="A676" s="106"/>
    </row>
    <row r="677" spans="1:1" x14ac:dyDescent="0.25">
      <c r="A677" s="106"/>
    </row>
    <row r="678" spans="1:1" x14ac:dyDescent="0.25">
      <c r="A678" s="106"/>
    </row>
    <row r="679" spans="1:1" x14ac:dyDescent="0.25">
      <c r="A679" s="106"/>
    </row>
    <row r="680" spans="1:1" x14ac:dyDescent="0.25">
      <c r="A680" s="106"/>
    </row>
    <row r="681" spans="1:1" x14ac:dyDescent="0.25">
      <c r="A681" s="106"/>
    </row>
    <row r="682" spans="1:1" x14ac:dyDescent="0.25">
      <c r="A682" s="106"/>
    </row>
    <row r="683" spans="1:1" x14ac:dyDescent="0.25">
      <c r="A683" s="106"/>
    </row>
    <row r="684" spans="1:1" x14ac:dyDescent="0.25">
      <c r="A684" s="106"/>
    </row>
    <row r="685" spans="1:1" x14ac:dyDescent="0.25">
      <c r="A685" s="106"/>
    </row>
    <row r="686" spans="1:1" x14ac:dyDescent="0.25">
      <c r="A686" s="106"/>
    </row>
    <row r="687" spans="1:1" x14ac:dyDescent="0.25">
      <c r="A687" s="106"/>
    </row>
    <row r="688" spans="1:1" x14ac:dyDescent="0.25">
      <c r="A688" s="106"/>
    </row>
    <row r="689" spans="1:1" x14ac:dyDescent="0.25">
      <c r="A689" s="106"/>
    </row>
    <row r="690" spans="1:1" x14ac:dyDescent="0.25">
      <c r="A690" s="106"/>
    </row>
    <row r="691" spans="1:1" x14ac:dyDescent="0.25">
      <c r="A691" s="106"/>
    </row>
    <row r="692" spans="1:1" x14ac:dyDescent="0.25">
      <c r="A692" s="106"/>
    </row>
    <row r="693" spans="1:1" x14ac:dyDescent="0.25">
      <c r="A693" s="106"/>
    </row>
    <row r="694" spans="1:1" x14ac:dyDescent="0.25">
      <c r="A694" s="106"/>
    </row>
    <row r="695" spans="1:1" x14ac:dyDescent="0.25">
      <c r="A695" s="106"/>
    </row>
    <row r="696" spans="1:1" x14ac:dyDescent="0.25">
      <c r="A696" s="106"/>
    </row>
    <row r="697" spans="1:1" x14ac:dyDescent="0.25">
      <c r="A697" s="106"/>
    </row>
    <row r="698" spans="1:1" x14ac:dyDescent="0.25">
      <c r="A698" s="106"/>
    </row>
    <row r="699" spans="1:1" x14ac:dyDescent="0.25">
      <c r="A699" s="106"/>
    </row>
    <row r="700" spans="1:1" x14ac:dyDescent="0.25">
      <c r="A700" s="106"/>
    </row>
    <row r="701" spans="1:1" x14ac:dyDescent="0.25">
      <c r="A701" s="106"/>
    </row>
    <row r="702" spans="1:1" x14ac:dyDescent="0.25">
      <c r="A702" s="106"/>
    </row>
    <row r="703" spans="1:1" x14ac:dyDescent="0.25">
      <c r="A703" s="106"/>
    </row>
    <row r="704" spans="1:1" x14ac:dyDescent="0.25">
      <c r="A704" s="106"/>
    </row>
    <row r="705" spans="1:1" x14ac:dyDescent="0.25">
      <c r="A705" s="106"/>
    </row>
    <row r="706" spans="1:1" x14ac:dyDescent="0.25">
      <c r="A706" s="106"/>
    </row>
    <row r="707" spans="1:1" x14ac:dyDescent="0.25">
      <c r="A707" s="106"/>
    </row>
    <row r="708" spans="1:1" x14ac:dyDescent="0.25">
      <c r="A708" s="106"/>
    </row>
    <row r="709" spans="1:1" x14ac:dyDescent="0.25">
      <c r="A709" s="106"/>
    </row>
    <row r="710" spans="1:1" x14ac:dyDescent="0.25">
      <c r="A710" s="106"/>
    </row>
    <row r="711" spans="1:1" x14ac:dyDescent="0.25">
      <c r="A711" s="106"/>
    </row>
    <row r="712" spans="1:1" x14ac:dyDescent="0.25">
      <c r="A712" s="106"/>
    </row>
    <row r="713" spans="1:1" x14ac:dyDescent="0.25">
      <c r="A713" s="106"/>
    </row>
    <row r="714" spans="1:1" x14ac:dyDescent="0.25">
      <c r="A714" s="106"/>
    </row>
    <row r="715" spans="1:1" x14ac:dyDescent="0.25">
      <c r="A715" s="106"/>
    </row>
    <row r="716" spans="1:1" x14ac:dyDescent="0.25">
      <c r="A716" s="106"/>
    </row>
    <row r="717" spans="1:1" x14ac:dyDescent="0.25">
      <c r="A717" s="106"/>
    </row>
    <row r="718" spans="1:1" x14ac:dyDescent="0.25">
      <c r="A718" s="106"/>
    </row>
    <row r="719" spans="1:1" x14ac:dyDescent="0.25">
      <c r="A719" s="106"/>
    </row>
    <row r="720" spans="1:1" x14ac:dyDescent="0.25">
      <c r="A720" s="106"/>
    </row>
    <row r="721" spans="1:1" x14ac:dyDescent="0.25">
      <c r="A721" s="106"/>
    </row>
    <row r="722" spans="1:1" x14ac:dyDescent="0.25">
      <c r="A722" s="106"/>
    </row>
    <row r="723" spans="1:1" x14ac:dyDescent="0.25">
      <c r="A723" s="106"/>
    </row>
    <row r="724" spans="1:1" x14ac:dyDescent="0.25">
      <c r="A724" s="106"/>
    </row>
    <row r="725" spans="1:1" x14ac:dyDescent="0.25">
      <c r="A725" s="106"/>
    </row>
    <row r="726" spans="1:1" x14ac:dyDescent="0.25">
      <c r="A726" s="106"/>
    </row>
    <row r="727" spans="1:1" x14ac:dyDescent="0.25">
      <c r="A727" s="106"/>
    </row>
    <row r="728" spans="1:1" x14ac:dyDescent="0.25">
      <c r="A728" s="106"/>
    </row>
    <row r="729" spans="1:1" x14ac:dyDescent="0.25">
      <c r="A729" s="106"/>
    </row>
    <row r="730" spans="1:1" x14ac:dyDescent="0.25">
      <c r="A730" s="106"/>
    </row>
    <row r="731" spans="1:1" x14ac:dyDescent="0.25">
      <c r="A731" s="106"/>
    </row>
    <row r="732" spans="1:1" x14ac:dyDescent="0.25">
      <c r="A732" s="106"/>
    </row>
    <row r="733" spans="1:1" x14ac:dyDescent="0.25">
      <c r="A733" s="106"/>
    </row>
    <row r="734" spans="1:1" x14ac:dyDescent="0.25">
      <c r="A734" s="106"/>
    </row>
    <row r="735" spans="1:1" x14ac:dyDescent="0.25">
      <c r="A735" s="106"/>
    </row>
    <row r="736" spans="1:1" x14ac:dyDescent="0.25">
      <c r="A736" s="106"/>
    </row>
    <row r="737" spans="1:1" x14ac:dyDescent="0.25">
      <c r="A737" s="106"/>
    </row>
    <row r="738" spans="1:1" x14ac:dyDescent="0.25">
      <c r="A738" s="106"/>
    </row>
    <row r="739" spans="1:1" x14ac:dyDescent="0.25">
      <c r="A739" s="106"/>
    </row>
    <row r="740" spans="1:1" x14ac:dyDescent="0.25">
      <c r="A740" s="106"/>
    </row>
    <row r="741" spans="1:1" x14ac:dyDescent="0.25">
      <c r="A741" s="106"/>
    </row>
    <row r="742" spans="1:1" x14ac:dyDescent="0.25">
      <c r="A742" s="106"/>
    </row>
    <row r="743" spans="1:1" x14ac:dyDescent="0.25">
      <c r="A743" s="106"/>
    </row>
    <row r="744" spans="1:1" x14ac:dyDescent="0.25">
      <c r="A744" s="106"/>
    </row>
    <row r="745" spans="1:1" x14ac:dyDescent="0.25">
      <c r="A745" s="106"/>
    </row>
    <row r="746" spans="1:1" x14ac:dyDescent="0.25">
      <c r="A746" s="106"/>
    </row>
    <row r="747" spans="1:1" x14ac:dyDescent="0.25">
      <c r="A747" s="106"/>
    </row>
    <row r="748" spans="1:1" x14ac:dyDescent="0.25">
      <c r="A748" s="106"/>
    </row>
    <row r="749" spans="1:1" x14ac:dyDescent="0.25">
      <c r="A749" s="106"/>
    </row>
    <row r="750" spans="1:1" x14ac:dyDescent="0.25">
      <c r="A750" s="106"/>
    </row>
    <row r="751" spans="1:1" x14ac:dyDescent="0.25">
      <c r="A751" s="106"/>
    </row>
    <row r="752" spans="1:1" x14ac:dyDescent="0.25">
      <c r="A752" s="106"/>
    </row>
    <row r="753" spans="1:1" x14ac:dyDescent="0.25">
      <c r="A753" s="106"/>
    </row>
    <row r="754" spans="1:1" x14ac:dyDescent="0.25">
      <c r="A754" s="106"/>
    </row>
    <row r="755" spans="1:1" x14ac:dyDescent="0.25">
      <c r="A755" s="106"/>
    </row>
    <row r="756" spans="1:1" x14ac:dyDescent="0.25">
      <c r="A756" s="106"/>
    </row>
    <row r="757" spans="1:1" x14ac:dyDescent="0.25">
      <c r="A757" s="106"/>
    </row>
    <row r="758" spans="1:1" x14ac:dyDescent="0.25">
      <c r="A758" s="106"/>
    </row>
    <row r="759" spans="1:1" x14ac:dyDescent="0.25">
      <c r="A759" s="106"/>
    </row>
    <row r="760" spans="1:1" x14ac:dyDescent="0.25">
      <c r="A760" s="106"/>
    </row>
    <row r="761" spans="1:1" x14ac:dyDescent="0.25">
      <c r="A761" s="106"/>
    </row>
    <row r="762" spans="1:1" x14ac:dyDescent="0.25">
      <c r="A762" s="106"/>
    </row>
    <row r="763" spans="1:1" x14ac:dyDescent="0.25">
      <c r="A763" s="106"/>
    </row>
    <row r="764" spans="1:1" x14ac:dyDescent="0.25">
      <c r="A764" s="106"/>
    </row>
    <row r="765" spans="1:1" x14ac:dyDescent="0.25">
      <c r="A765" s="106"/>
    </row>
    <row r="766" spans="1:1" x14ac:dyDescent="0.25">
      <c r="A766" s="106"/>
    </row>
    <row r="767" spans="1:1" x14ac:dyDescent="0.25">
      <c r="A767" s="106"/>
    </row>
    <row r="768" spans="1:1" x14ac:dyDescent="0.25">
      <c r="A768" s="106"/>
    </row>
    <row r="769" spans="1:1" x14ac:dyDescent="0.25">
      <c r="A769" s="106"/>
    </row>
    <row r="770" spans="1:1" x14ac:dyDescent="0.25">
      <c r="A770" s="106"/>
    </row>
    <row r="771" spans="1:1" x14ac:dyDescent="0.25">
      <c r="A771" s="106"/>
    </row>
    <row r="772" spans="1:1" x14ac:dyDescent="0.25">
      <c r="A772" s="106"/>
    </row>
    <row r="773" spans="1:1" x14ac:dyDescent="0.25">
      <c r="A773" s="106"/>
    </row>
    <row r="774" spans="1:1" x14ac:dyDescent="0.25">
      <c r="A774" s="106"/>
    </row>
    <row r="775" spans="1:1" x14ac:dyDescent="0.25">
      <c r="A775" s="106"/>
    </row>
    <row r="776" spans="1:1" x14ac:dyDescent="0.25">
      <c r="A776" s="106"/>
    </row>
    <row r="777" spans="1:1" x14ac:dyDescent="0.25">
      <c r="A777" s="106"/>
    </row>
    <row r="778" spans="1:1" x14ac:dyDescent="0.25">
      <c r="A778" s="106"/>
    </row>
    <row r="779" spans="1:1" x14ac:dyDescent="0.25">
      <c r="A779" s="106"/>
    </row>
    <row r="780" spans="1:1" x14ac:dyDescent="0.25">
      <c r="A780" s="106"/>
    </row>
    <row r="781" spans="1:1" x14ac:dyDescent="0.25">
      <c r="A781" s="106"/>
    </row>
    <row r="782" spans="1:1" x14ac:dyDescent="0.25">
      <c r="A782" s="106"/>
    </row>
    <row r="783" spans="1:1" x14ac:dyDescent="0.25">
      <c r="A783" s="106"/>
    </row>
    <row r="784" spans="1:1" x14ac:dyDescent="0.25">
      <c r="A784" s="106"/>
    </row>
    <row r="785" spans="1:1" x14ac:dyDescent="0.25">
      <c r="A785" s="106"/>
    </row>
    <row r="786" spans="1:1" x14ac:dyDescent="0.25">
      <c r="A786" s="106"/>
    </row>
    <row r="787" spans="1:1" x14ac:dyDescent="0.25">
      <c r="A787" s="106"/>
    </row>
    <row r="788" spans="1:1" x14ac:dyDescent="0.25">
      <c r="A788" s="106"/>
    </row>
    <row r="789" spans="1:1" x14ac:dyDescent="0.25">
      <c r="A789" s="106"/>
    </row>
    <row r="790" spans="1:1" x14ac:dyDescent="0.25">
      <c r="A790" s="106"/>
    </row>
    <row r="791" spans="1:1" x14ac:dyDescent="0.25">
      <c r="A791" s="106"/>
    </row>
    <row r="792" spans="1:1" x14ac:dyDescent="0.25">
      <c r="A792" s="106"/>
    </row>
    <row r="793" spans="1:1" x14ac:dyDescent="0.25">
      <c r="A793" s="106"/>
    </row>
    <row r="794" spans="1:1" x14ac:dyDescent="0.25">
      <c r="A794" s="106"/>
    </row>
    <row r="795" spans="1:1" x14ac:dyDescent="0.25">
      <c r="A795" s="106"/>
    </row>
    <row r="796" spans="1:1" x14ac:dyDescent="0.25">
      <c r="A796" s="106"/>
    </row>
    <row r="797" spans="1:1" x14ac:dyDescent="0.25">
      <c r="A797" s="106"/>
    </row>
    <row r="798" spans="1:1" x14ac:dyDescent="0.25">
      <c r="A798" s="106"/>
    </row>
    <row r="799" spans="1:1" x14ac:dyDescent="0.25">
      <c r="A799" s="106"/>
    </row>
    <row r="800" spans="1:1" x14ac:dyDescent="0.25">
      <c r="A800" s="106"/>
    </row>
    <row r="801" spans="1:1" x14ac:dyDescent="0.25">
      <c r="A801" s="106"/>
    </row>
    <row r="802" spans="1:1" x14ac:dyDescent="0.25">
      <c r="A802" s="106"/>
    </row>
    <row r="803" spans="1:1" x14ac:dyDescent="0.25">
      <c r="A803" s="106"/>
    </row>
    <row r="804" spans="1:1" x14ac:dyDescent="0.25">
      <c r="A804" s="106"/>
    </row>
    <row r="805" spans="1:1" x14ac:dyDescent="0.25">
      <c r="A805" s="106"/>
    </row>
    <row r="806" spans="1:1" x14ac:dyDescent="0.25">
      <c r="A806" s="106"/>
    </row>
    <row r="807" spans="1:1" x14ac:dyDescent="0.25">
      <c r="A807" s="106"/>
    </row>
    <row r="808" spans="1:1" x14ac:dyDescent="0.25">
      <c r="A808" s="106"/>
    </row>
    <row r="809" spans="1:1" x14ac:dyDescent="0.25">
      <c r="A809" s="106"/>
    </row>
    <row r="810" spans="1:1" x14ac:dyDescent="0.25">
      <c r="A810" s="106"/>
    </row>
    <row r="811" spans="1:1" x14ac:dyDescent="0.25">
      <c r="A811" s="106"/>
    </row>
    <row r="812" spans="1:1" x14ac:dyDescent="0.25">
      <c r="A812" s="106"/>
    </row>
    <row r="813" spans="1:1" x14ac:dyDescent="0.25">
      <c r="A813" s="106"/>
    </row>
    <row r="814" spans="1:1" x14ac:dyDescent="0.25">
      <c r="A814" s="106"/>
    </row>
    <row r="815" spans="1:1" x14ac:dyDescent="0.25">
      <c r="A815" s="106"/>
    </row>
    <row r="816" spans="1:1" x14ac:dyDescent="0.25">
      <c r="A816" s="106"/>
    </row>
    <row r="817" spans="1:1" x14ac:dyDescent="0.25">
      <c r="A817" s="106"/>
    </row>
    <row r="818" spans="1:1" x14ac:dyDescent="0.25">
      <c r="A818" s="106"/>
    </row>
    <row r="819" spans="1:1" x14ac:dyDescent="0.25">
      <c r="A819" s="106"/>
    </row>
    <row r="820" spans="1:1" x14ac:dyDescent="0.25">
      <c r="A820" s="106"/>
    </row>
    <row r="821" spans="1:1" x14ac:dyDescent="0.25">
      <c r="A821" s="106"/>
    </row>
    <row r="822" spans="1:1" x14ac:dyDescent="0.25">
      <c r="A822" s="106"/>
    </row>
    <row r="823" spans="1:1" x14ac:dyDescent="0.25">
      <c r="A823" s="106"/>
    </row>
    <row r="824" spans="1:1" x14ac:dyDescent="0.25">
      <c r="A824" s="106"/>
    </row>
    <row r="825" spans="1:1" x14ac:dyDescent="0.25">
      <c r="A825" s="106"/>
    </row>
    <row r="826" spans="1:1" x14ac:dyDescent="0.25">
      <c r="A826" s="106"/>
    </row>
    <row r="827" spans="1:1" x14ac:dyDescent="0.25">
      <c r="A827" s="106"/>
    </row>
    <row r="828" spans="1:1" x14ac:dyDescent="0.25">
      <c r="A828" s="106"/>
    </row>
    <row r="829" spans="1:1" x14ac:dyDescent="0.25">
      <c r="A829" s="106"/>
    </row>
    <row r="830" spans="1:1" x14ac:dyDescent="0.25">
      <c r="A830" s="106"/>
    </row>
    <row r="831" spans="1:1" x14ac:dyDescent="0.25">
      <c r="A831" s="106"/>
    </row>
    <row r="832" spans="1:1" x14ac:dyDescent="0.25">
      <c r="A832" s="106"/>
    </row>
    <row r="833" spans="1:1" x14ac:dyDescent="0.25">
      <c r="A833" s="106"/>
    </row>
    <row r="834" spans="1:1" x14ac:dyDescent="0.25">
      <c r="A834" s="106"/>
    </row>
    <row r="835" spans="1:1" x14ac:dyDescent="0.25">
      <c r="A835" s="106"/>
    </row>
    <row r="836" spans="1:1" x14ac:dyDescent="0.25">
      <c r="A836" s="106"/>
    </row>
    <row r="837" spans="1:1" x14ac:dyDescent="0.25">
      <c r="A837" s="106"/>
    </row>
    <row r="838" spans="1:1" x14ac:dyDescent="0.25">
      <c r="A838" s="106"/>
    </row>
    <row r="839" spans="1:1" x14ac:dyDescent="0.25">
      <c r="A839" s="106"/>
    </row>
    <row r="840" spans="1:1" x14ac:dyDescent="0.25">
      <c r="A840" s="106"/>
    </row>
    <row r="841" spans="1:1" x14ac:dyDescent="0.25">
      <c r="A841" s="106"/>
    </row>
    <row r="842" spans="1:1" x14ac:dyDescent="0.25">
      <c r="A842" s="106"/>
    </row>
    <row r="843" spans="1:1" x14ac:dyDescent="0.25">
      <c r="A843" s="106"/>
    </row>
    <row r="844" spans="1:1" x14ac:dyDescent="0.25">
      <c r="A844" s="106"/>
    </row>
    <row r="845" spans="1:1" x14ac:dyDescent="0.25">
      <c r="A845" s="106"/>
    </row>
    <row r="846" spans="1:1" x14ac:dyDescent="0.25">
      <c r="A846" s="106"/>
    </row>
    <row r="847" spans="1:1" x14ac:dyDescent="0.25">
      <c r="A847" s="106"/>
    </row>
    <row r="848" spans="1:1" x14ac:dyDescent="0.25">
      <c r="A848" s="106"/>
    </row>
    <row r="849" spans="1:1" x14ac:dyDescent="0.25">
      <c r="A849" s="106"/>
    </row>
    <row r="850" spans="1:1" x14ac:dyDescent="0.25">
      <c r="A850" s="106"/>
    </row>
    <row r="851" spans="1:1" x14ac:dyDescent="0.25">
      <c r="A851" s="106"/>
    </row>
    <row r="852" spans="1:1" x14ac:dyDescent="0.25">
      <c r="A852" s="106"/>
    </row>
    <row r="853" spans="1:1" x14ac:dyDescent="0.25">
      <c r="A853" s="106"/>
    </row>
    <row r="854" spans="1:1" x14ac:dyDescent="0.25">
      <c r="A854" s="106"/>
    </row>
    <row r="855" spans="1:1" x14ac:dyDescent="0.25">
      <c r="A855" s="106"/>
    </row>
    <row r="856" spans="1:1" x14ac:dyDescent="0.25">
      <c r="A856" s="106"/>
    </row>
    <row r="857" spans="1:1" x14ac:dyDescent="0.25">
      <c r="A857" s="106"/>
    </row>
    <row r="858" spans="1:1" x14ac:dyDescent="0.25">
      <c r="A858" s="106"/>
    </row>
    <row r="859" spans="1:1" x14ac:dyDescent="0.25">
      <c r="A859" s="106"/>
    </row>
    <row r="860" spans="1:1" x14ac:dyDescent="0.25">
      <c r="A860" s="106"/>
    </row>
    <row r="861" spans="1:1" x14ac:dyDescent="0.25">
      <c r="A861" s="106"/>
    </row>
    <row r="862" spans="1:1" x14ac:dyDescent="0.25">
      <c r="A862" s="106"/>
    </row>
    <row r="863" spans="1:1" x14ac:dyDescent="0.25">
      <c r="A863" s="106"/>
    </row>
    <row r="864" spans="1:1" x14ac:dyDescent="0.25">
      <c r="A864" s="106"/>
    </row>
    <row r="865" spans="1:1" x14ac:dyDescent="0.25">
      <c r="A865" s="106"/>
    </row>
    <row r="866" spans="1:1" x14ac:dyDescent="0.25">
      <c r="A866" s="106"/>
    </row>
    <row r="867" spans="1:1" x14ac:dyDescent="0.25">
      <c r="A867" s="106"/>
    </row>
    <row r="868" spans="1:1" x14ac:dyDescent="0.25">
      <c r="A868" s="106"/>
    </row>
    <row r="869" spans="1:1" x14ac:dyDescent="0.25">
      <c r="A869" s="106"/>
    </row>
    <row r="870" spans="1:1" x14ac:dyDescent="0.25">
      <c r="A870" s="106"/>
    </row>
    <row r="871" spans="1:1" x14ac:dyDescent="0.25">
      <c r="A871" s="106"/>
    </row>
    <row r="872" spans="1:1" x14ac:dyDescent="0.25">
      <c r="A872" s="106"/>
    </row>
    <row r="873" spans="1:1" x14ac:dyDescent="0.25">
      <c r="A873" s="106"/>
    </row>
    <row r="874" spans="1:1" x14ac:dyDescent="0.25">
      <c r="A874" s="106"/>
    </row>
    <row r="875" spans="1:1" x14ac:dyDescent="0.25">
      <c r="A875" s="106"/>
    </row>
    <row r="876" spans="1:1" x14ac:dyDescent="0.25">
      <c r="A876" s="106"/>
    </row>
    <row r="877" spans="1:1" x14ac:dyDescent="0.25">
      <c r="A877" s="106"/>
    </row>
    <row r="878" spans="1:1" x14ac:dyDescent="0.25">
      <c r="A878" s="106"/>
    </row>
    <row r="879" spans="1:1" x14ac:dyDescent="0.25">
      <c r="A879" s="106"/>
    </row>
    <row r="880" spans="1:1" x14ac:dyDescent="0.25">
      <c r="A880" s="106"/>
    </row>
    <row r="881" spans="1:1" x14ac:dyDescent="0.25">
      <c r="A881" s="106"/>
    </row>
    <row r="882" spans="1:1" x14ac:dyDescent="0.25">
      <c r="A882" s="106"/>
    </row>
    <row r="883" spans="1:1" x14ac:dyDescent="0.25">
      <c r="A883" s="106"/>
    </row>
    <row r="884" spans="1:1" x14ac:dyDescent="0.25">
      <c r="A884" s="106"/>
    </row>
    <row r="885" spans="1:1" x14ac:dyDescent="0.25">
      <c r="A885" s="106"/>
    </row>
    <row r="886" spans="1:1" x14ac:dyDescent="0.25">
      <c r="A886" s="106"/>
    </row>
    <row r="887" spans="1:1" x14ac:dyDescent="0.25">
      <c r="A887" s="106"/>
    </row>
    <row r="888" spans="1:1" x14ac:dyDescent="0.25">
      <c r="A888" s="106"/>
    </row>
    <row r="889" spans="1:1" x14ac:dyDescent="0.25">
      <c r="A889" s="106"/>
    </row>
    <row r="890" spans="1:1" x14ac:dyDescent="0.25">
      <c r="A890" s="106"/>
    </row>
    <row r="891" spans="1:1" x14ac:dyDescent="0.25">
      <c r="A891" s="106"/>
    </row>
    <row r="892" spans="1:1" x14ac:dyDescent="0.25">
      <c r="A892" s="106"/>
    </row>
    <row r="893" spans="1:1" x14ac:dyDescent="0.25">
      <c r="A893" s="106"/>
    </row>
    <row r="894" spans="1:1" x14ac:dyDescent="0.25">
      <c r="A894" s="106"/>
    </row>
    <row r="895" spans="1:1" x14ac:dyDescent="0.25">
      <c r="A895" s="106"/>
    </row>
    <row r="896" spans="1:1" x14ac:dyDescent="0.25">
      <c r="A896" s="106"/>
    </row>
    <row r="897" spans="1:1" x14ac:dyDescent="0.25">
      <c r="A897" s="106"/>
    </row>
    <row r="898" spans="1:1" x14ac:dyDescent="0.25">
      <c r="A898" s="106"/>
    </row>
    <row r="899" spans="1:1" x14ac:dyDescent="0.25">
      <c r="A899" s="106"/>
    </row>
    <row r="900" spans="1:1" x14ac:dyDescent="0.25">
      <c r="A900" s="106"/>
    </row>
    <row r="901" spans="1:1" x14ac:dyDescent="0.25">
      <c r="A901" s="106"/>
    </row>
    <row r="902" spans="1:1" x14ac:dyDescent="0.25">
      <c r="A902" s="106"/>
    </row>
    <row r="903" spans="1:1" x14ac:dyDescent="0.25">
      <c r="A903" s="106"/>
    </row>
    <row r="904" spans="1:1" x14ac:dyDescent="0.25">
      <c r="A904" s="106"/>
    </row>
    <row r="905" spans="1:1" x14ac:dyDescent="0.25">
      <c r="A905" s="106"/>
    </row>
    <row r="906" spans="1:1" x14ac:dyDescent="0.25">
      <c r="A906" s="106"/>
    </row>
    <row r="907" spans="1:1" x14ac:dyDescent="0.25">
      <c r="A907" s="106"/>
    </row>
    <row r="908" spans="1:1" x14ac:dyDescent="0.25">
      <c r="A908" s="106"/>
    </row>
    <row r="909" spans="1:1" x14ac:dyDescent="0.25">
      <c r="A909" s="106"/>
    </row>
    <row r="910" spans="1:1" x14ac:dyDescent="0.25">
      <c r="A910" s="106"/>
    </row>
    <row r="911" spans="1:1" x14ac:dyDescent="0.25">
      <c r="A911" s="106"/>
    </row>
    <row r="912" spans="1:1" x14ac:dyDescent="0.25">
      <c r="A912" s="106"/>
    </row>
    <row r="913" spans="1:1" x14ac:dyDescent="0.25">
      <c r="A913" s="106"/>
    </row>
    <row r="914" spans="1:1" x14ac:dyDescent="0.25">
      <c r="A914" s="106"/>
    </row>
    <row r="915" spans="1:1" x14ac:dyDescent="0.25">
      <c r="A915" s="106"/>
    </row>
    <row r="916" spans="1:1" x14ac:dyDescent="0.25">
      <c r="A916" s="106"/>
    </row>
    <row r="917" spans="1:1" x14ac:dyDescent="0.25">
      <c r="A917" s="106"/>
    </row>
    <row r="918" spans="1:1" x14ac:dyDescent="0.25">
      <c r="A918" s="106"/>
    </row>
    <row r="919" spans="1:1" x14ac:dyDescent="0.25">
      <c r="A919" s="106"/>
    </row>
    <row r="920" spans="1:1" x14ac:dyDescent="0.25">
      <c r="A920" s="106"/>
    </row>
    <row r="921" spans="1:1" x14ac:dyDescent="0.25">
      <c r="A921" s="106"/>
    </row>
    <row r="922" spans="1:1" x14ac:dyDescent="0.25">
      <c r="A922" s="106"/>
    </row>
    <row r="923" spans="1:1" x14ac:dyDescent="0.25">
      <c r="A923" s="106"/>
    </row>
    <row r="924" spans="1:1" x14ac:dyDescent="0.25">
      <c r="A924" s="106"/>
    </row>
    <row r="925" spans="1:1" x14ac:dyDescent="0.25">
      <c r="A925" s="106"/>
    </row>
    <row r="926" spans="1:1" x14ac:dyDescent="0.25">
      <c r="A926" s="106"/>
    </row>
    <row r="927" spans="1:1" x14ac:dyDescent="0.25">
      <c r="A927" s="106"/>
    </row>
    <row r="928" spans="1:1" x14ac:dyDescent="0.25">
      <c r="A928" s="106"/>
    </row>
    <row r="929" spans="1:1" x14ac:dyDescent="0.25">
      <c r="A929" s="106"/>
    </row>
    <row r="930" spans="1:1" x14ac:dyDescent="0.25">
      <c r="A930" s="106"/>
    </row>
    <row r="931" spans="1:1" x14ac:dyDescent="0.25">
      <c r="A931" s="106"/>
    </row>
    <row r="932" spans="1:1" x14ac:dyDescent="0.25">
      <c r="A932" s="106"/>
    </row>
    <row r="933" spans="1:1" x14ac:dyDescent="0.25">
      <c r="A933" s="106"/>
    </row>
    <row r="934" spans="1:1" x14ac:dyDescent="0.25">
      <c r="A934" s="106"/>
    </row>
    <row r="935" spans="1:1" x14ac:dyDescent="0.25">
      <c r="A935" s="106"/>
    </row>
    <row r="936" spans="1:1" x14ac:dyDescent="0.25">
      <c r="A936" s="106"/>
    </row>
    <row r="937" spans="1:1" x14ac:dyDescent="0.25">
      <c r="A937" s="106"/>
    </row>
    <row r="938" spans="1:1" x14ac:dyDescent="0.25">
      <c r="A938" s="106"/>
    </row>
    <row r="939" spans="1:1" x14ac:dyDescent="0.25">
      <c r="A939" s="106"/>
    </row>
    <row r="940" spans="1:1" x14ac:dyDescent="0.25">
      <c r="A940" s="106"/>
    </row>
    <row r="941" spans="1:1" x14ac:dyDescent="0.25">
      <c r="A941" s="106"/>
    </row>
    <row r="942" spans="1:1" x14ac:dyDescent="0.25">
      <c r="A942" s="106"/>
    </row>
    <row r="943" spans="1:1" x14ac:dyDescent="0.25">
      <c r="A943" s="106"/>
    </row>
    <row r="944" spans="1:1" x14ac:dyDescent="0.25">
      <c r="A944" s="106"/>
    </row>
    <row r="945" spans="1:1" x14ac:dyDescent="0.25">
      <c r="A945" s="106"/>
    </row>
    <row r="946" spans="1:1" x14ac:dyDescent="0.25">
      <c r="A946" s="106"/>
    </row>
    <row r="947" spans="1:1" x14ac:dyDescent="0.25">
      <c r="A947" s="106"/>
    </row>
    <row r="948" spans="1:1" x14ac:dyDescent="0.25">
      <c r="A948" s="106"/>
    </row>
    <row r="949" spans="1:1" x14ac:dyDescent="0.25">
      <c r="A949" s="106"/>
    </row>
    <row r="950" spans="1:1" x14ac:dyDescent="0.25">
      <c r="A950" s="106"/>
    </row>
    <row r="951" spans="1:1" x14ac:dyDescent="0.25">
      <c r="A951" s="106"/>
    </row>
    <row r="952" spans="1:1" x14ac:dyDescent="0.25">
      <c r="A952" s="106"/>
    </row>
    <row r="953" spans="1:1" x14ac:dyDescent="0.25">
      <c r="A953" s="106"/>
    </row>
    <row r="954" spans="1:1" x14ac:dyDescent="0.25">
      <c r="A954" s="106"/>
    </row>
    <row r="955" spans="1:1" x14ac:dyDescent="0.25">
      <c r="A955" s="106"/>
    </row>
    <row r="956" spans="1:1" x14ac:dyDescent="0.25">
      <c r="A956" s="106"/>
    </row>
    <row r="957" spans="1:1" x14ac:dyDescent="0.25">
      <c r="A957" s="106"/>
    </row>
    <row r="958" spans="1:1" x14ac:dyDescent="0.25">
      <c r="A958" s="106"/>
    </row>
    <row r="959" spans="1:1" x14ac:dyDescent="0.25">
      <c r="A959" s="106"/>
    </row>
    <row r="960" spans="1:1" x14ac:dyDescent="0.25">
      <c r="A960" s="106"/>
    </row>
    <row r="961" spans="1:1" x14ac:dyDescent="0.25">
      <c r="A961" s="106"/>
    </row>
    <row r="962" spans="1:1" x14ac:dyDescent="0.25">
      <c r="A962" s="106"/>
    </row>
    <row r="963" spans="1:1" x14ac:dyDescent="0.25">
      <c r="A963" s="106"/>
    </row>
    <row r="964" spans="1:1" x14ac:dyDescent="0.25">
      <c r="A964" s="106"/>
    </row>
    <row r="965" spans="1:1" x14ac:dyDescent="0.25">
      <c r="A965" s="106"/>
    </row>
    <row r="966" spans="1:1" x14ac:dyDescent="0.25">
      <c r="A966" s="106"/>
    </row>
    <row r="967" spans="1:1" x14ac:dyDescent="0.25">
      <c r="A967" s="106"/>
    </row>
    <row r="968" spans="1:1" x14ac:dyDescent="0.25">
      <c r="A968" s="106"/>
    </row>
    <row r="969" spans="1:1" x14ac:dyDescent="0.25">
      <c r="A969" s="106"/>
    </row>
    <row r="970" spans="1:1" x14ac:dyDescent="0.25">
      <c r="A970" s="106"/>
    </row>
    <row r="971" spans="1:1" x14ac:dyDescent="0.25">
      <c r="A971" s="106"/>
    </row>
    <row r="972" spans="1:1" x14ac:dyDescent="0.25">
      <c r="A972" s="106"/>
    </row>
    <row r="973" spans="1:1" x14ac:dyDescent="0.25">
      <c r="A973" s="106"/>
    </row>
    <row r="974" spans="1:1" x14ac:dyDescent="0.25">
      <c r="A974" s="106"/>
    </row>
    <row r="975" spans="1:1" x14ac:dyDescent="0.25">
      <c r="A975" s="106"/>
    </row>
    <row r="976" spans="1:1" x14ac:dyDescent="0.25">
      <c r="A976" s="106"/>
    </row>
    <row r="977" spans="1:1" x14ac:dyDescent="0.25">
      <c r="A977" s="106"/>
    </row>
    <row r="978" spans="1:1" x14ac:dyDescent="0.25">
      <c r="A978" s="106"/>
    </row>
    <row r="979" spans="1:1" x14ac:dyDescent="0.25">
      <c r="A979" s="106"/>
    </row>
    <row r="980" spans="1:1" x14ac:dyDescent="0.25">
      <c r="A980" s="106"/>
    </row>
    <row r="981" spans="1:1" x14ac:dyDescent="0.25">
      <c r="A981" s="106"/>
    </row>
    <row r="982" spans="1:1" x14ac:dyDescent="0.25">
      <c r="A982" s="106"/>
    </row>
    <row r="983" spans="1:1" x14ac:dyDescent="0.25">
      <c r="A983" s="106"/>
    </row>
    <row r="984" spans="1:1" x14ac:dyDescent="0.25">
      <c r="A984" s="106"/>
    </row>
    <row r="985" spans="1:1" x14ac:dyDescent="0.25">
      <c r="A985" s="106"/>
    </row>
    <row r="986" spans="1:1" x14ac:dyDescent="0.25">
      <c r="A986" s="106"/>
    </row>
    <row r="987" spans="1:1" x14ac:dyDescent="0.25">
      <c r="A987" s="106"/>
    </row>
    <row r="988" spans="1:1" x14ac:dyDescent="0.25">
      <c r="A988" s="106"/>
    </row>
    <row r="989" spans="1:1" x14ac:dyDescent="0.25">
      <c r="A989" s="106"/>
    </row>
    <row r="990" spans="1:1" x14ac:dyDescent="0.25">
      <c r="A990" s="106"/>
    </row>
    <row r="991" spans="1:1" x14ac:dyDescent="0.25">
      <c r="A991" s="106"/>
    </row>
    <row r="992" spans="1:1" x14ac:dyDescent="0.25">
      <c r="A992" s="106"/>
    </row>
    <row r="993" spans="1:1" x14ac:dyDescent="0.25">
      <c r="A993" s="106"/>
    </row>
    <row r="994" spans="1:1" x14ac:dyDescent="0.25">
      <c r="A994" s="106"/>
    </row>
    <row r="995" spans="1:1" x14ac:dyDescent="0.25">
      <c r="A995" s="106"/>
    </row>
    <row r="996" spans="1:1" x14ac:dyDescent="0.25">
      <c r="A996" s="106"/>
    </row>
    <row r="997" spans="1:1" x14ac:dyDescent="0.25">
      <c r="A997" s="106"/>
    </row>
    <row r="998" spans="1:1" x14ac:dyDescent="0.25">
      <c r="A998" s="106"/>
    </row>
    <row r="999" spans="1:1" x14ac:dyDescent="0.25">
      <c r="A999" s="106"/>
    </row>
    <row r="1000" spans="1:1" x14ac:dyDescent="0.25">
      <c r="A1000" s="106"/>
    </row>
    <row r="1001" spans="1:1" x14ac:dyDescent="0.25">
      <c r="A1001" s="106"/>
    </row>
    <row r="1002" spans="1:1" x14ac:dyDescent="0.25">
      <c r="A1002" s="106"/>
    </row>
    <row r="1003" spans="1:1" x14ac:dyDescent="0.25">
      <c r="A1003" s="106"/>
    </row>
    <row r="1004" spans="1:1" x14ac:dyDescent="0.25">
      <c r="A1004" s="106"/>
    </row>
    <row r="1005" spans="1:1" x14ac:dyDescent="0.25">
      <c r="A1005" s="106"/>
    </row>
    <row r="1006" spans="1:1" x14ac:dyDescent="0.25">
      <c r="A1006" s="106"/>
    </row>
  </sheetData>
  <mergeCells count="1">
    <mergeCell ref="D5:F5"/>
  </mergeCells>
  <phoneticPr fontId="11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495300</xdr:colOff>
                    <xdr:row>25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25</xdr:row>
                    <xdr:rowOff>123825</xdr:rowOff>
                  </from>
                  <to>
                    <xdr:col>6</xdr:col>
                    <xdr:colOff>152400</xdr:colOff>
                    <xdr:row>25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FK3"/>
  <sheetViews>
    <sheetView tabSelected="1" topLeftCell="AA1" zoomScaleNormal="100" workbookViewId="0">
      <pane ySplit="2" topLeftCell="A3" activePane="bottomLeft" state="frozen"/>
      <selection pane="bottomLeft" activeCell="AK4" sqref="AK4"/>
    </sheetView>
  </sheetViews>
  <sheetFormatPr baseColWidth="10" defaultColWidth="11.42578125" defaultRowHeight="15" x14ac:dyDescent="0.25"/>
  <cols>
    <col min="1" max="1" width="10" customWidth="1"/>
    <col min="2" max="2" width="7.28515625" bestFit="1" customWidth="1"/>
    <col min="3" max="3" width="15.5703125" bestFit="1" customWidth="1"/>
    <col min="4" max="4" width="17.140625" bestFit="1" customWidth="1"/>
    <col min="5" max="5" width="13.5703125" bestFit="1" customWidth="1"/>
    <col min="6" max="6" width="14.7109375" bestFit="1" customWidth="1"/>
    <col min="7" max="7" width="41.140625" customWidth="1"/>
    <col min="8" max="8" width="28.140625" customWidth="1"/>
    <col min="9" max="9" width="18.140625" bestFit="1" customWidth="1"/>
    <col min="10" max="10" width="11.7109375" bestFit="1" customWidth="1"/>
    <col min="11" max="11" width="18.140625" bestFit="1" customWidth="1"/>
    <col min="12" max="12" width="18" bestFit="1" customWidth="1"/>
    <col min="13" max="13" width="18" customWidth="1"/>
    <col min="14" max="14" width="10.7109375" customWidth="1"/>
    <col min="15" max="15" width="11.42578125" customWidth="1"/>
    <col min="16" max="16" width="24.28515625" bestFit="1" customWidth="1"/>
    <col min="17" max="17" width="16.5703125" bestFit="1" customWidth="1"/>
    <col min="18" max="18" width="22.7109375" bestFit="1" customWidth="1"/>
    <col min="19" max="19" width="19.85546875" bestFit="1" customWidth="1"/>
    <col min="20" max="20" width="22.85546875" bestFit="1" customWidth="1"/>
    <col min="21" max="22" width="22.85546875" customWidth="1"/>
    <col min="23" max="23" width="18.140625" bestFit="1" customWidth="1"/>
    <col min="24" max="24" width="13.7109375" bestFit="1" customWidth="1"/>
    <col min="25" max="25" width="22.140625" bestFit="1" customWidth="1"/>
    <col min="26" max="26" width="18.42578125" bestFit="1" customWidth="1"/>
    <col min="27" max="27" width="19.42578125" bestFit="1" customWidth="1"/>
    <col min="28" max="28" width="18.42578125" bestFit="1" customWidth="1"/>
    <col min="29" max="29" width="19.42578125" bestFit="1" customWidth="1"/>
    <col min="30" max="30" width="27.85546875" bestFit="1" customWidth="1"/>
    <col min="31" max="31" width="21" customWidth="1"/>
    <col min="32" max="32" width="15.5703125" bestFit="1" customWidth="1"/>
    <col min="33" max="34" width="15.85546875" bestFit="1" customWidth="1"/>
    <col min="35" max="35" width="18.7109375" customWidth="1"/>
    <col min="36" max="36" width="21.5703125" bestFit="1" customWidth="1"/>
    <col min="37" max="37" width="27.140625" bestFit="1" customWidth="1"/>
    <col min="38" max="38" width="18.140625" bestFit="1" customWidth="1"/>
    <col min="39" max="39" width="16.5703125" bestFit="1" customWidth="1"/>
    <col min="40" max="40" width="15.7109375" bestFit="1" customWidth="1"/>
    <col min="41" max="41" width="18.140625" bestFit="1" customWidth="1"/>
    <col min="42" max="42" width="22.85546875" bestFit="1" customWidth="1"/>
    <col min="43" max="43" width="23.85546875" customWidth="1"/>
    <col min="44" max="44" width="19.5703125" bestFit="1" customWidth="1"/>
    <col min="45" max="45" width="20" bestFit="1" customWidth="1"/>
    <col min="46" max="46" width="12.42578125" bestFit="1" customWidth="1"/>
    <col min="47" max="47" width="15.7109375" bestFit="1" customWidth="1"/>
    <col min="48" max="48" width="17.140625" bestFit="1" customWidth="1"/>
    <col min="49" max="49" width="14.28515625" bestFit="1" customWidth="1"/>
    <col min="50" max="50" width="17" bestFit="1" customWidth="1"/>
    <col min="51" max="51" width="8.42578125" bestFit="1" customWidth="1"/>
    <col min="52" max="52" width="18.5703125" bestFit="1" customWidth="1"/>
    <col min="53" max="53" width="23.42578125" bestFit="1" customWidth="1"/>
    <col min="54" max="54" width="24.28515625" bestFit="1" customWidth="1"/>
    <col min="55" max="56" width="20" bestFit="1" customWidth="1"/>
    <col min="57" max="57" width="17.140625" bestFit="1" customWidth="1"/>
    <col min="58" max="58" width="14.28515625" bestFit="1" customWidth="1"/>
    <col min="59" max="59" width="17" bestFit="1" customWidth="1"/>
    <col min="60" max="60" width="8" bestFit="1" customWidth="1"/>
    <col min="61" max="61" width="18.5703125" bestFit="1" customWidth="1"/>
    <col min="62" max="62" width="12.42578125" bestFit="1" customWidth="1"/>
    <col min="63" max="63" width="15.7109375" bestFit="1" customWidth="1"/>
    <col min="64" max="64" width="17.140625" bestFit="1" customWidth="1"/>
    <col min="65" max="65" width="24.28515625" bestFit="1" customWidth="1"/>
    <col min="66" max="66" width="22.85546875" bestFit="1" customWidth="1"/>
    <col min="67" max="67" width="23.42578125" bestFit="1" customWidth="1"/>
    <col min="68" max="68" width="12.42578125" bestFit="1" customWidth="1"/>
    <col min="69" max="69" width="15.7109375" bestFit="1" customWidth="1"/>
    <col min="70" max="70" width="17.140625" bestFit="1" customWidth="1"/>
    <col min="71" max="71" width="14.28515625" bestFit="1" customWidth="1"/>
    <col min="72" max="72" width="17" bestFit="1" customWidth="1"/>
    <col min="73" max="73" width="8.42578125" bestFit="1" customWidth="1"/>
    <col min="74" max="74" width="18.5703125" bestFit="1" customWidth="1"/>
    <col min="75" max="75" width="23.42578125" bestFit="1" customWidth="1"/>
    <col min="76" max="76" width="24.28515625" bestFit="1" customWidth="1"/>
    <col min="77" max="77" width="22.85546875" bestFit="1" customWidth="1"/>
    <col min="78" max="78" width="23.42578125" bestFit="1" customWidth="1"/>
    <col min="79" max="79" width="12.42578125" bestFit="1" customWidth="1"/>
    <col min="80" max="80" width="15.7109375" bestFit="1" customWidth="1"/>
    <col min="81" max="81" width="17.140625" bestFit="1" customWidth="1"/>
    <col min="82" max="82" width="14.28515625" bestFit="1" customWidth="1"/>
    <col min="83" max="83" width="17" bestFit="1" customWidth="1"/>
    <col min="84" max="84" width="8.42578125" bestFit="1" customWidth="1"/>
    <col min="85" max="85" width="18.5703125" bestFit="1" customWidth="1"/>
    <col min="86" max="86" width="23.42578125" bestFit="1" customWidth="1"/>
    <col min="87" max="87" width="24.28515625" bestFit="1" customWidth="1"/>
    <col min="88" max="88" width="22.85546875" bestFit="1" customWidth="1"/>
    <col min="89" max="89" width="23.42578125" bestFit="1" customWidth="1"/>
    <col min="90" max="90" width="12.42578125" bestFit="1" customWidth="1"/>
    <col min="91" max="91" width="15.7109375" bestFit="1" customWidth="1"/>
    <col min="92" max="92" width="17.140625" bestFit="1" customWidth="1"/>
    <col min="93" max="93" width="14.28515625" bestFit="1" customWidth="1"/>
    <col min="94" max="94" width="17" bestFit="1" customWidth="1"/>
    <col min="95" max="95" width="8.42578125" bestFit="1" customWidth="1"/>
    <col min="96" max="96" width="18.5703125" bestFit="1" customWidth="1"/>
    <col min="97" max="97" width="23.42578125" bestFit="1" customWidth="1"/>
    <col min="98" max="98" width="24.28515625" bestFit="1" customWidth="1"/>
    <col min="99" max="99" width="22.85546875" bestFit="1" customWidth="1"/>
    <col min="100" max="100" width="23.42578125" bestFit="1" customWidth="1"/>
    <col min="101" max="101" width="12.42578125" bestFit="1" customWidth="1"/>
    <col min="102" max="102" width="15.7109375" bestFit="1" customWidth="1"/>
    <col min="103" max="103" width="17.140625" bestFit="1" customWidth="1"/>
    <col min="104" max="104" width="14.28515625" bestFit="1" customWidth="1"/>
    <col min="105" max="105" width="17" bestFit="1" customWidth="1"/>
    <col min="106" max="106" width="8.42578125" bestFit="1" customWidth="1"/>
    <col min="107" max="107" width="18.5703125" bestFit="1" customWidth="1"/>
    <col min="108" max="108" width="23.42578125" bestFit="1" customWidth="1"/>
    <col min="109" max="109" width="24.28515625" bestFit="1" customWidth="1"/>
    <col min="110" max="110" width="22.85546875" bestFit="1" customWidth="1"/>
    <col min="111" max="111" width="23.42578125" bestFit="1" customWidth="1"/>
    <col min="112" max="112" width="12.42578125" bestFit="1" customWidth="1"/>
    <col min="113" max="113" width="15.7109375" bestFit="1" customWidth="1"/>
    <col min="114" max="114" width="17.140625" bestFit="1" customWidth="1"/>
    <col min="115" max="115" width="14.28515625" bestFit="1" customWidth="1"/>
    <col min="116" max="116" width="17" bestFit="1" customWidth="1"/>
    <col min="117" max="117" width="8.42578125" bestFit="1" customWidth="1"/>
    <col min="118" max="118" width="18.5703125" bestFit="1" customWidth="1"/>
    <col min="119" max="119" width="23.42578125" bestFit="1" customWidth="1"/>
    <col min="120" max="120" width="24.28515625" bestFit="1" customWidth="1"/>
    <col min="121" max="121" width="22.85546875" bestFit="1" customWidth="1"/>
    <col min="122" max="122" width="23.42578125" bestFit="1" customWidth="1"/>
    <col min="123" max="123" width="12.42578125" bestFit="1" customWidth="1"/>
    <col min="124" max="124" width="15.7109375" bestFit="1" customWidth="1"/>
    <col min="125" max="125" width="17.140625" bestFit="1" customWidth="1"/>
    <col min="126" max="126" width="14.28515625" bestFit="1" customWidth="1"/>
    <col min="127" max="127" width="17" bestFit="1" customWidth="1"/>
    <col min="128" max="128" width="8.42578125" bestFit="1" customWidth="1"/>
    <col min="129" max="129" width="18.5703125" bestFit="1" customWidth="1"/>
    <col min="130" max="130" width="23.42578125" bestFit="1" customWidth="1"/>
    <col min="131" max="131" width="24.28515625" bestFit="1" customWidth="1"/>
    <col min="132" max="132" width="22.85546875" bestFit="1" customWidth="1"/>
    <col min="133" max="133" width="23.42578125" bestFit="1" customWidth="1"/>
    <col min="134" max="134" width="13.140625" bestFit="1" customWidth="1"/>
    <col min="135" max="135" width="16.42578125" bestFit="1" customWidth="1"/>
    <col min="136" max="136" width="18" bestFit="1" customWidth="1"/>
    <col min="137" max="137" width="15" bestFit="1" customWidth="1"/>
    <col min="138" max="138" width="17.85546875" bestFit="1" customWidth="1"/>
    <col min="139" max="139" width="9.140625" bestFit="1" customWidth="1"/>
    <col min="140" max="140" width="19.28515625" bestFit="1" customWidth="1"/>
    <col min="141" max="141" width="24.140625" bestFit="1" customWidth="1"/>
    <col min="142" max="142" width="25" bestFit="1" customWidth="1"/>
    <col min="143" max="143" width="22.85546875" bestFit="1" customWidth="1"/>
    <col min="144" max="144" width="23.42578125" bestFit="1" customWidth="1"/>
  </cols>
  <sheetData>
    <row r="1" spans="1:167" ht="15.75" thickBot="1" x14ac:dyDescent="0.3"/>
    <row r="2" spans="1:167" s="43" customFormat="1" ht="18.75" customHeight="1" thickBot="1" x14ac:dyDescent="0.25">
      <c r="A2" s="55" t="s">
        <v>98</v>
      </c>
      <c r="B2" s="56" t="s">
        <v>0</v>
      </c>
      <c r="C2" s="56" t="s">
        <v>103</v>
      </c>
      <c r="D2" s="56" t="s">
        <v>271</v>
      </c>
      <c r="E2" s="57" t="s">
        <v>99</v>
      </c>
      <c r="F2" s="58" t="s">
        <v>272</v>
      </c>
      <c r="G2" s="58" t="s">
        <v>273</v>
      </c>
      <c r="H2" s="59" t="s">
        <v>274</v>
      </c>
      <c r="I2" s="60" t="s">
        <v>204</v>
      </c>
      <c r="J2" s="61" t="s">
        <v>311</v>
      </c>
      <c r="K2" s="61" t="s">
        <v>275</v>
      </c>
      <c r="L2" s="61" t="s">
        <v>276</v>
      </c>
      <c r="M2" s="61" t="s">
        <v>277</v>
      </c>
      <c r="N2" s="61" t="s">
        <v>1</v>
      </c>
      <c r="O2" s="61" t="s">
        <v>64</v>
      </c>
      <c r="P2" s="53" t="s">
        <v>312</v>
      </c>
      <c r="Q2" s="61" t="s">
        <v>313</v>
      </c>
      <c r="R2" s="62" t="s">
        <v>314</v>
      </c>
      <c r="S2" s="63" t="s">
        <v>278</v>
      </c>
      <c r="T2" s="64" t="s">
        <v>279</v>
      </c>
      <c r="U2" s="64" t="s">
        <v>280</v>
      </c>
      <c r="V2" s="65" t="s">
        <v>281</v>
      </c>
      <c r="W2" s="130" t="s">
        <v>291</v>
      </c>
      <c r="X2" s="66" t="s">
        <v>292</v>
      </c>
      <c r="Y2" s="66" t="s">
        <v>282</v>
      </c>
      <c r="Z2" s="66" t="s">
        <v>283</v>
      </c>
      <c r="AA2" s="67" t="s">
        <v>284</v>
      </c>
      <c r="AB2" s="68" t="s">
        <v>287</v>
      </c>
      <c r="AC2" s="69" t="s">
        <v>288</v>
      </c>
      <c r="AD2" s="69" t="s">
        <v>285</v>
      </c>
      <c r="AE2" s="70" t="s">
        <v>286</v>
      </c>
      <c r="AF2" s="71" t="s">
        <v>164</v>
      </c>
      <c r="AG2" s="72" t="s">
        <v>165</v>
      </c>
      <c r="AH2" s="127" t="s">
        <v>431</v>
      </c>
      <c r="AI2" s="128" t="s">
        <v>432</v>
      </c>
      <c r="AJ2" s="128" t="s">
        <v>433</v>
      </c>
      <c r="AK2" s="129" t="s">
        <v>434</v>
      </c>
      <c r="AL2" s="60" t="s">
        <v>104</v>
      </c>
      <c r="AM2" s="61" t="s">
        <v>319</v>
      </c>
      <c r="AN2" s="61" t="s">
        <v>105</v>
      </c>
      <c r="AO2" s="61" t="s">
        <v>106</v>
      </c>
      <c r="AP2" s="61" t="s">
        <v>107</v>
      </c>
      <c r="AQ2" s="61" t="s">
        <v>108</v>
      </c>
      <c r="AR2" s="61" t="s">
        <v>320</v>
      </c>
      <c r="AS2" s="61" t="s">
        <v>176</v>
      </c>
      <c r="AT2" s="61" t="s">
        <v>109</v>
      </c>
      <c r="AU2" s="61" t="s">
        <v>289</v>
      </c>
      <c r="AV2" s="73" t="s">
        <v>290</v>
      </c>
      <c r="AW2" s="74" t="s">
        <v>321</v>
      </c>
      <c r="AX2" s="75" t="s">
        <v>322</v>
      </c>
      <c r="AY2" s="76" t="s">
        <v>110</v>
      </c>
      <c r="AZ2" s="61" t="s">
        <v>323</v>
      </c>
      <c r="BA2" s="61" t="s">
        <v>111</v>
      </c>
      <c r="BB2" s="61" t="s">
        <v>112</v>
      </c>
      <c r="BC2" s="61" t="s">
        <v>113</v>
      </c>
      <c r="BD2" s="61" t="s">
        <v>114</v>
      </c>
      <c r="BE2" s="61" t="s">
        <v>324</v>
      </c>
      <c r="BF2" s="61" t="s">
        <v>177</v>
      </c>
      <c r="BG2" s="61" t="s">
        <v>115</v>
      </c>
      <c r="BH2" s="61" t="s">
        <v>293</v>
      </c>
      <c r="BI2" s="61" t="s">
        <v>294</v>
      </c>
      <c r="BJ2" s="77" t="s">
        <v>325</v>
      </c>
      <c r="BK2" s="77" t="s">
        <v>326</v>
      </c>
      <c r="BL2" s="61" t="s">
        <v>116</v>
      </c>
      <c r="BM2" s="61" t="s">
        <v>327</v>
      </c>
      <c r="BN2" s="61" t="s">
        <v>117</v>
      </c>
      <c r="BO2" s="61" t="s">
        <v>118</v>
      </c>
      <c r="BP2" s="61" t="s">
        <v>119</v>
      </c>
      <c r="BQ2" s="61" t="s">
        <v>120</v>
      </c>
      <c r="BR2" s="61" t="s">
        <v>328</v>
      </c>
      <c r="BS2" s="61" t="s">
        <v>178</v>
      </c>
      <c r="BT2" s="61" t="s">
        <v>121</v>
      </c>
      <c r="BU2" s="61" t="s">
        <v>295</v>
      </c>
      <c r="BV2" s="61" t="s">
        <v>296</v>
      </c>
      <c r="BW2" s="77" t="s">
        <v>329</v>
      </c>
      <c r="BX2" s="77" t="s">
        <v>330</v>
      </c>
      <c r="BY2" s="61" t="s">
        <v>122</v>
      </c>
      <c r="BZ2" s="61" t="s">
        <v>331</v>
      </c>
      <c r="CA2" s="61" t="s">
        <v>123</v>
      </c>
      <c r="CB2" s="61" t="s">
        <v>124</v>
      </c>
      <c r="CC2" s="61" t="s">
        <v>125</v>
      </c>
      <c r="CD2" s="61" t="s">
        <v>126</v>
      </c>
      <c r="CE2" s="61" t="s">
        <v>332</v>
      </c>
      <c r="CF2" s="61" t="s">
        <v>179</v>
      </c>
      <c r="CG2" s="61" t="s">
        <v>127</v>
      </c>
      <c r="CH2" s="61" t="s">
        <v>297</v>
      </c>
      <c r="CI2" s="61" t="s">
        <v>298</v>
      </c>
      <c r="CJ2" s="77" t="s">
        <v>333</v>
      </c>
      <c r="CK2" s="77" t="s">
        <v>334</v>
      </c>
      <c r="CL2" s="61" t="s">
        <v>128</v>
      </c>
      <c r="CM2" s="61" t="s">
        <v>335</v>
      </c>
      <c r="CN2" s="61" t="s">
        <v>129</v>
      </c>
      <c r="CO2" s="61" t="s">
        <v>130</v>
      </c>
      <c r="CP2" s="61" t="s">
        <v>131</v>
      </c>
      <c r="CQ2" s="61" t="s">
        <v>132</v>
      </c>
      <c r="CR2" s="61" t="s">
        <v>336</v>
      </c>
      <c r="CS2" s="61" t="s">
        <v>180</v>
      </c>
      <c r="CT2" s="61" t="s">
        <v>133</v>
      </c>
      <c r="CU2" s="61" t="s">
        <v>299</v>
      </c>
      <c r="CV2" s="61" t="s">
        <v>300</v>
      </c>
      <c r="CW2" s="77" t="s">
        <v>337</v>
      </c>
      <c r="CX2" s="77" t="s">
        <v>338</v>
      </c>
      <c r="CY2" s="61" t="s">
        <v>134</v>
      </c>
      <c r="CZ2" s="61" t="s">
        <v>339</v>
      </c>
      <c r="DA2" s="61" t="s">
        <v>135</v>
      </c>
      <c r="DB2" s="61" t="s">
        <v>136</v>
      </c>
      <c r="DC2" s="61" t="s">
        <v>137</v>
      </c>
      <c r="DD2" s="61" t="s">
        <v>138</v>
      </c>
      <c r="DE2" s="61" t="s">
        <v>340</v>
      </c>
      <c r="DF2" s="61" t="s">
        <v>181</v>
      </c>
      <c r="DG2" s="61" t="s">
        <v>139</v>
      </c>
      <c r="DH2" s="61" t="s">
        <v>301</v>
      </c>
      <c r="DI2" s="61" t="s">
        <v>302</v>
      </c>
      <c r="DJ2" s="77" t="s">
        <v>341</v>
      </c>
      <c r="DK2" s="77" t="s">
        <v>342</v>
      </c>
      <c r="DL2" s="61" t="s">
        <v>140</v>
      </c>
      <c r="DM2" s="61" t="s">
        <v>343</v>
      </c>
      <c r="DN2" s="61" t="s">
        <v>141</v>
      </c>
      <c r="DO2" s="61" t="s">
        <v>142</v>
      </c>
      <c r="DP2" s="61" t="s">
        <v>143</v>
      </c>
      <c r="DQ2" s="61" t="s">
        <v>144</v>
      </c>
      <c r="DR2" s="61" t="s">
        <v>344</v>
      </c>
      <c r="DS2" s="61" t="s">
        <v>182</v>
      </c>
      <c r="DT2" s="61" t="s">
        <v>145</v>
      </c>
      <c r="DU2" s="61" t="s">
        <v>303</v>
      </c>
      <c r="DV2" s="61" t="s">
        <v>304</v>
      </c>
      <c r="DW2" s="77" t="s">
        <v>345</v>
      </c>
      <c r="DX2" s="77" t="s">
        <v>346</v>
      </c>
      <c r="DY2" s="61" t="s">
        <v>146</v>
      </c>
      <c r="DZ2" s="61" t="s">
        <v>347</v>
      </c>
      <c r="EA2" s="61" t="s">
        <v>147</v>
      </c>
      <c r="EB2" s="61" t="s">
        <v>148</v>
      </c>
      <c r="EC2" s="61" t="s">
        <v>149</v>
      </c>
      <c r="ED2" s="61" t="s">
        <v>150</v>
      </c>
      <c r="EE2" s="61" t="s">
        <v>348</v>
      </c>
      <c r="EF2" s="61" t="s">
        <v>183</v>
      </c>
      <c r="EG2" s="61" t="s">
        <v>151</v>
      </c>
      <c r="EH2" s="61" t="s">
        <v>305</v>
      </c>
      <c r="EI2" s="61" t="s">
        <v>306</v>
      </c>
      <c r="EJ2" s="77" t="s">
        <v>349</v>
      </c>
      <c r="EK2" s="77" t="s">
        <v>350</v>
      </c>
      <c r="EL2" s="61" t="s">
        <v>152</v>
      </c>
      <c r="EM2" s="61" t="s">
        <v>351</v>
      </c>
      <c r="EN2" s="61" t="s">
        <v>153</v>
      </c>
      <c r="EO2" s="61" t="s">
        <v>154</v>
      </c>
      <c r="EP2" s="61" t="s">
        <v>155</v>
      </c>
      <c r="EQ2" s="61" t="s">
        <v>156</v>
      </c>
      <c r="ER2" s="61" t="s">
        <v>352</v>
      </c>
      <c r="ES2" s="61" t="s">
        <v>184</v>
      </c>
      <c r="ET2" s="61" t="s">
        <v>157</v>
      </c>
      <c r="EU2" s="61" t="s">
        <v>307</v>
      </c>
      <c r="EV2" s="61" t="s">
        <v>308</v>
      </c>
      <c r="EW2" s="77" t="s">
        <v>353</v>
      </c>
      <c r="EX2" s="77" t="s">
        <v>354</v>
      </c>
      <c r="EY2" s="61" t="s">
        <v>158</v>
      </c>
      <c r="EZ2" s="61" t="s">
        <v>355</v>
      </c>
      <c r="FA2" s="61" t="s">
        <v>159</v>
      </c>
      <c r="FB2" s="61" t="s">
        <v>160</v>
      </c>
      <c r="FC2" s="61" t="s">
        <v>161</v>
      </c>
      <c r="FD2" s="61" t="s">
        <v>162</v>
      </c>
      <c r="FE2" s="61" t="s">
        <v>356</v>
      </c>
      <c r="FF2" s="61" t="s">
        <v>185</v>
      </c>
      <c r="FG2" s="61" t="s">
        <v>163</v>
      </c>
      <c r="FH2" s="61" t="s">
        <v>309</v>
      </c>
      <c r="FI2" s="61" t="s">
        <v>310</v>
      </c>
      <c r="FJ2" s="77" t="s">
        <v>357</v>
      </c>
      <c r="FK2" s="77" t="s">
        <v>358</v>
      </c>
    </row>
    <row r="3" spans="1:167" s="36" customFormat="1" ht="18.75" customHeight="1" x14ac:dyDescent="0.25">
      <c r="A3" s="35" t="s">
        <v>71</v>
      </c>
      <c r="B3" s="35" t="s">
        <v>395</v>
      </c>
      <c r="C3" s="35" t="s">
        <v>65</v>
      </c>
      <c r="D3" s="107">
        <v>44788</v>
      </c>
      <c r="E3" s="35" t="s">
        <v>102</v>
      </c>
      <c r="F3" s="109">
        <v>10755115385</v>
      </c>
      <c r="G3" s="109" t="s">
        <v>393</v>
      </c>
      <c r="H3" s="109" t="s">
        <v>394</v>
      </c>
      <c r="I3" s="95">
        <v>1001</v>
      </c>
      <c r="J3" s="37" t="s">
        <v>55</v>
      </c>
      <c r="K3" s="37">
        <v>0</v>
      </c>
      <c r="L3" s="38">
        <v>0</v>
      </c>
      <c r="M3" s="38">
        <v>0</v>
      </c>
      <c r="N3" s="38">
        <v>126</v>
      </c>
      <c r="O3" s="38">
        <v>826</v>
      </c>
      <c r="P3" s="38"/>
      <c r="Q3" s="38"/>
      <c r="R3" s="38"/>
      <c r="S3" s="110" t="s">
        <v>396</v>
      </c>
      <c r="T3" s="35" t="s">
        <v>397</v>
      </c>
      <c r="U3" s="35" t="s">
        <v>398</v>
      </c>
      <c r="V3" s="35" t="s">
        <v>399</v>
      </c>
      <c r="W3" s="35" t="s">
        <v>101</v>
      </c>
      <c r="X3" s="35" t="s">
        <v>435</v>
      </c>
      <c r="Y3" s="35"/>
      <c r="Z3" s="35"/>
      <c r="AA3" s="35"/>
      <c r="AB3" s="35"/>
      <c r="AC3" s="35"/>
      <c r="AD3" s="33"/>
      <c r="AF3" s="35"/>
      <c r="AG3" s="35"/>
      <c r="AH3" s="37" t="s">
        <v>429</v>
      </c>
      <c r="AI3" s="36" t="s">
        <v>436</v>
      </c>
      <c r="AJ3" s="36" t="s">
        <v>437</v>
      </c>
      <c r="AK3" s="36" t="s">
        <v>438</v>
      </c>
      <c r="AL3" s="36">
        <v>1</v>
      </c>
      <c r="AM3" s="36">
        <v>14</v>
      </c>
      <c r="AN3" s="36" t="s">
        <v>362</v>
      </c>
      <c r="AP3" s="36">
        <v>826</v>
      </c>
      <c r="AQ3" s="36">
        <v>700</v>
      </c>
      <c r="AR3" s="36">
        <v>10</v>
      </c>
      <c r="AS3" s="36">
        <v>126</v>
      </c>
      <c r="AT3" s="36">
        <v>700</v>
      </c>
      <c r="AU3" s="36">
        <v>20</v>
      </c>
    </row>
  </sheetData>
  <phoneticPr fontId="11" type="noConversion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51" t="s">
        <v>236</v>
      </c>
      <c r="B2" s="51">
        <v>51</v>
      </c>
    </row>
    <row r="3" spans="1:2" x14ac:dyDescent="0.25">
      <c r="A3" s="51" t="s">
        <v>237</v>
      </c>
      <c r="B3" s="51" t="s">
        <v>238</v>
      </c>
    </row>
    <row r="4" spans="1:2" ht="14.25" customHeight="1" x14ac:dyDescent="0.25">
      <c r="A4" t="s">
        <v>240</v>
      </c>
      <c r="B4" t="s">
        <v>239</v>
      </c>
    </row>
    <row r="5" spans="1:2" x14ac:dyDescent="0.25">
      <c r="A5" t="s">
        <v>205</v>
      </c>
      <c r="B5" t="s">
        <v>56</v>
      </c>
    </row>
    <row r="6" spans="1:2" x14ac:dyDescent="0.25">
      <c r="A6" t="s">
        <v>206</v>
      </c>
      <c r="B6" t="s">
        <v>241</v>
      </c>
    </row>
    <row r="7" spans="1:2" x14ac:dyDescent="0.25">
      <c r="A7" t="s">
        <v>207</v>
      </c>
      <c r="B7" t="s">
        <v>242</v>
      </c>
    </row>
    <row r="8" spans="1:2" x14ac:dyDescent="0.25">
      <c r="A8" t="s">
        <v>208</v>
      </c>
      <c r="B8" t="s">
        <v>243</v>
      </c>
    </row>
    <row r="9" spans="1:2" x14ac:dyDescent="0.25">
      <c r="A9" t="s">
        <v>209</v>
      </c>
      <c r="B9" t="s">
        <v>244</v>
      </c>
    </row>
    <row r="10" spans="1:2" x14ac:dyDescent="0.25">
      <c r="A10" t="s">
        <v>210</v>
      </c>
      <c r="B10" t="s">
        <v>245</v>
      </c>
    </row>
    <row r="11" spans="1:2" x14ac:dyDescent="0.25">
      <c r="A11" t="s">
        <v>211</v>
      </c>
      <c r="B11" t="s">
        <v>246</v>
      </c>
    </row>
    <row r="12" spans="1:2" x14ac:dyDescent="0.25">
      <c r="A12" t="s">
        <v>212</v>
      </c>
      <c r="B12" t="s">
        <v>247</v>
      </c>
    </row>
    <row r="13" spans="1:2" x14ac:dyDescent="0.25">
      <c r="A13" t="s">
        <v>213</v>
      </c>
      <c r="B13" t="s">
        <v>248</v>
      </c>
    </row>
    <row r="14" spans="1:2" x14ac:dyDescent="0.25">
      <c r="A14" t="s">
        <v>214</v>
      </c>
      <c r="B14" t="s">
        <v>249</v>
      </c>
    </row>
    <row r="15" spans="1:2" x14ac:dyDescent="0.25">
      <c r="A15" t="s">
        <v>215</v>
      </c>
      <c r="B15" t="s">
        <v>250</v>
      </c>
    </row>
    <row r="16" spans="1:2" x14ac:dyDescent="0.25">
      <c r="A16" t="s">
        <v>216</v>
      </c>
      <c r="B16" t="s">
        <v>251</v>
      </c>
    </row>
    <row r="17" spans="1:2" x14ac:dyDescent="0.25">
      <c r="A17" t="s">
        <v>217</v>
      </c>
      <c r="B17" t="s">
        <v>252</v>
      </c>
    </row>
    <row r="18" spans="1:2" x14ac:dyDescent="0.25">
      <c r="A18" t="s">
        <v>218</v>
      </c>
      <c r="B18" t="s">
        <v>253</v>
      </c>
    </row>
    <row r="19" spans="1:2" x14ac:dyDescent="0.25">
      <c r="A19" t="s">
        <v>219</v>
      </c>
      <c r="B19" t="s">
        <v>254</v>
      </c>
    </row>
    <row r="20" spans="1:2" x14ac:dyDescent="0.25">
      <c r="A20" t="s">
        <v>220</v>
      </c>
      <c r="B20" t="s">
        <v>255</v>
      </c>
    </row>
    <row r="21" spans="1:2" x14ac:dyDescent="0.25">
      <c r="A21" t="s">
        <v>221</v>
      </c>
      <c r="B21" t="s">
        <v>256</v>
      </c>
    </row>
    <row r="22" spans="1:2" x14ac:dyDescent="0.25">
      <c r="A22" t="s">
        <v>222</v>
      </c>
      <c r="B22" t="s">
        <v>257</v>
      </c>
    </row>
    <row r="23" spans="1:2" x14ac:dyDescent="0.25">
      <c r="A23" t="s">
        <v>223</v>
      </c>
      <c r="B23" t="s">
        <v>258</v>
      </c>
    </row>
    <row r="24" spans="1:2" x14ac:dyDescent="0.25">
      <c r="A24" t="s">
        <v>224</v>
      </c>
      <c r="B24" t="s">
        <v>259</v>
      </c>
    </row>
    <row r="25" spans="1:2" x14ac:dyDescent="0.25">
      <c r="A25" t="s">
        <v>225</v>
      </c>
      <c r="B25" t="s">
        <v>260</v>
      </c>
    </row>
    <row r="26" spans="1:2" x14ac:dyDescent="0.25">
      <c r="A26" t="s">
        <v>226</v>
      </c>
      <c r="B26" t="s">
        <v>261</v>
      </c>
    </row>
    <row r="27" spans="1:2" x14ac:dyDescent="0.25">
      <c r="A27" t="s">
        <v>227</v>
      </c>
      <c r="B27" t="s">
        <v>262</v>
      </c>
    </row>
    <row r="28" spans="1:2" x14ac:dyDescent="0.25">
      <c r="A28" t="s">
        <v>228</v>
      </c>
      <c r="B28" t="s">
        <v>263</v>
      </c>
    </row>
    <row r="29" spans="1:2" x14ac:dyDescent="0.25">
      <c r="A29" t="s">
        <v>229</v>
      </c>
      <c r="B29" t="s">
        <v>264</v>
      </c>
    </row>
    <row r="30" spans="1:2" x14ac:dyDescent="0.25">
      <c r="A30" t="s">
        <v>230</v>
      </c>
      <c r="B30" t="s">
        <v>265</v>
      </c>
    </row>
    <row r="31" spans="1:2" x14ac:dyDescent="0.25">
      <c r="A31" t="s">
        <v>231</v>
      </c>
      <c r="B31" t="s">
        <v>266</v>
      </c>
    </row>
    <row r="32" spans="1:2" x14ac:dyDescent="0.25">
      <c r="A32" t="s">
        <v>232</v>
      </c>
      <c r="B32" t="s">
        <v>267</v>
      </c>
    </row>
    <row r="33" spans="1:4" x14ac:dyDescent="0.25">
      <c r="A33" t="s">
        <v>233</v>
      </c>
      <c r="B33" t="s">
        <v>268</v>
      </c>
    </row>
    <row r="34" spans="1:4" x14ac:dyDescent="0.25">
      <c r="A34" t="s">
        <v>234</v>
      </c>
      <c r="B34" t="s">
        <v>269</v>
      </c>
    </row>
    <row r="35" spans="1:4" x14ac:dyDescent="0.25">
      <c r="A35" t="s">
        <v>235</v>
      </c>
      <c r="B35" t="s">
        <v>270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40" t="s">
        <v>58</v>
      </c>
      <c r="B1" s="40" t="s">
        <v>98</v>
      </c>
      <c r="C1" s="40" t="s">
        <v>0</v>
      </c>
      <c r="D1" s="41" t="s">
        <v>60</v>
      </c>
      <c r="E1" s="41" t="s">
        <v>99</v>
      </c>
      <c r="F1" s="40" t="s">
        <v>100</v>
      </c>
      <c r="G1" s="40" t="s">
        <v>61</v>
      </c>
      <c r="H1" s="42" t="s">
        <v>62</v>
      </c>
      <c r="I1" s="42" t="s">
        <v>1</v>
      </c>
      <c r="J1" s="42" t="s">
        <v>63</v>
      </c>
      <c r="K1" s="42" t="s">
        <v>64</v>
      </c>
      <c r="L1" s="25" t="s">
        <v>59</v>
      </c>
      <c r="M1" s="25" t="s">
        <v>0</v>
      </c>
      <c r="N1" s="25" t="s">
        <v>60</v>
      </c>
      <c r="O1" s="25" t="s">
        <v>69</v>
      </c>
      <c r="P1" s="25" t="s">
        <v>70</v>
      </c>
    </row>
    <row r="2" spans="1:16" s="36" customFormat="1" ht="18.75" customHeight="1" x14ac:dyDescent="0.25">
      <c r="A2" s="34">
        <v>43851</v>
      </c>
      <c r="B2" s="35" t="s">
        <v>71</v>
      </c>
      <c r="C2" s="35" t="s">
        <v>72</v>
      </c>
      <c r="D2" s="35" t="s">
        <v>65</v>
      </c>
      <c r="E2" s="35" t="s">
        <v>101</v>
      </c>
      <c r="F2" s="36" t="s">
        <v>65</v>
      </c>
      <c r="G2" s="37" t="s">
        <v>84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85</v>
      </c>
      <c r="N2" s="35" t="s">
        <v>86</v>
      </c>
      <c r="O2" s="37" t="s">
        <v>97</v>
      </c>
      <c r="P2" s="37"/>
    </row>
    <row r="3" spans="1:16" s="36" customFormat="1" ht="18.75" customHeight="1" x14ac:dyDescent="0.25">
      <c r="A3" s="34">
        <v>43852</v>
      </c>
      <c r="B3" s="35" t="s">
        <v>71</v>
      </c>
      <c r="C3" s="35" t="s">
        <v>72</v>
      </c>
      <c r="D3" s="35" t="s">
        <v>73</v>
      </c>
      <c r="E3" s="35" t="s">
        <v>101</v>
      </c>
      <c r="F3" s="36" t="s">
        <v>65</v>
      </c>
      <c r="G3" s="37" t="s">
        <v>84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85</v>
      </c>
      <c r="N3" s="35" t="s">
        <v>87</v>
      </c>
      <c r="O3" s="37" t="s">
        <v>97</v>
      </c>
    </row>
    <row r="4" spans="1:16" s="36" customFormat="1" ht="18.75" customHeight="1" x14ac:dyDescent="0.25">
      <c r="A4" s="34">
        <v>43855</v>
      </c>
      <c r="B4" s="35" t="s">
        <v>71</v>
      </c>
      <c r="C4" s="35" t="s">
        <v>72</v>
      </c>
      <c r="D4" s="35" t="s">
        <v>74</v>
      </c>
      <c r="E4" s="35" t="s">
        <v>102</v>
      </c>
      <c r="F4" s="36" t="s">
        <v>65</v>
      </c>
      <c r="G4" s="37" t="s">
        <v>84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85</v>
      </c>
      <c r="N4" s="35" t="s">
        <v>88</v>
      </c>
      <c r="O4" s="37" t="s">
        <v>97</v>
      </c>
    </row>
    <row r="5" spans="1:16" s="36" customFormat="1" ht="18.75" customHeight="1" x14ac:dyDescent="0.25">
      <c r="A5" s="34">
        <v>43856</v>
      </c>
      <c r="B5" s="35" t="s">
        <v>71</v>
      </c>
      <c r="C5" s="35" t="s">
        <v>72</v>
      </c>
      <c r="D5" s="35" t="s">
        <v>75</v>
      </c>
      <c r="E5" s="35" t="s">
        <v>102</v>
      </c>
      <c r="F5" s="36" t="s">
        <v>65</v>
      </c>
      <c r="G5" s="37" t="s">
        <v>84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85</v>
      </c>
      <c r="N5" s="35" t="s">
        <v>92</v>
      </c>
      <c r="O5" s="37" t="s">
        <v>97</v>
      </c>
    </row>
    <row r="6" spans="1:16" s="36" customFormat="1" ht="18.75" customHeight="1" x14ac:dyDescent="0.25">
      <c r="A6" s="34">
        <v>43856</v>
      </c>
      <c r="B6" s="35" t="s">
        <v>71</v>
      </c>
      <c r="C6" s="35" t="s">
        <v>72</v>
      </c>
      <c r="D6" s="35" t="s">
        <v>76</v>
      </c>
      <c r="E6" s="35" t="s">
        <v>102</v>
      </c>
      <c r="F6" s="36" t="s">
        <v>65</v>
      </c>
      <c r="G6" s="37" t="s">
        <v>84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85</v>
      </c>
      <c r="N6" s="35" t="s">
        <v>89</v>
      </c>
      <c r="O6" s="37" t="s">
        <v>97</v>
      </c>
    </row>
    <row r="7" spans="1:16" s="36" customFormat="1" ht="18.75" customHeight="1" x14ac:dyDescent="0.25">
      <c r="A7" s="34">
        <v>43856</v>
      </c>
      <c r="B7" s="35" t="s">
        <v>71</v>
      </c>
      <c r="C7" s="35" t="s">
        <v>72</v>
      </c>
      <c r="D7" s="35" t="s">
        <v>77</v>
      </c>
      <c r="E7" s="35" t="s">
        <v>101</v>
      </c>
      <c r="F7" s="36" t="s">
        <v>65</v>
      </c>
      <c r="G7" s="37" t="s">
        <v>84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85</v>
      </c>
      <c r="N7" s="35" t="s">
        <v>90</v>
      </c>
      <c r="O7" s="37" t="s">
        <v>97</v>
      </c>
    </row>
    <row r="8" spans="1:16" s="36" customFormat="1" ht="18.75" customHeight="1" x14ac:dyDescent="0.25">
      <c r="A8" s="34">
        <v>43856</v>
      </c>
      <c r="B8" s="35" t="s">
        <v>71</v>
      </c>
      <c r="C8" s="35" t="s">
        <v>72</v>
      </c>
      <c r="D8" s="35" t="s">
        <v>78</v>
      </c>
      <c r="E8" s="35" t="s">
        <v>101</v>
      </c>
      <c r="F8" s="36" t="s">
        <v>65</v>
      </c>
      <c r="G8" s="37" t="s">
        <v>84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85</v>
      </c>
      <c r="N8" s="35" t="s">
        <v>91</v>
      </c>
      <c r="O8" s="37" t="s">
        <v>97</v>
      </c>
    </row>
    <row r="9" spans="1:16" s="36" customFormat="1" ht="18.75" customHeight="1" x14ac:dyDescent="0.25">
      <c r="A9" s="34">
        <v>43856</v>
      </c>
      <c r="B9" s="35" t="s">
        <v>71</v>
      </c>
      <c r="C9" s="35" t="s">
        <v>72</v>
      </c>
      <c r="D9" s="35" t="s">
        <v>79</v>
      </c>
      <c r="E9" s="35" t="s">
        <v>101</v>
      </c>
      <c r="F9" s="36" t="s">
        <v>65</v>
      </c>
      <c r="G9" s="37" t="s">
        <v>84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85</v>
      </c>
      <c r="N9" s="35" t="s">
        <v>92</v>
      </c>
      <c r="O9" s="37" t="s">
        <v>97</v>
      </c>
    </row>
    <row r="10" spans="1:16" s="36" customFormat="1" ht="18.75" customHeight="1" x14ac:dyDescent="0.25">
      <c r="A10" s="34">
        <v>43857</v>
      </c>
      <c r="B10" s="35" t="s">
        <v>71</v>
      </c>
      <c r="C10" s="35" t="s">
        <v>72</v>
      </c>
      <c r="D10" s="35" t="s">
        <v>80</v>
      </c>
      <c r="E10" s="35" t="s">
        <v>101</v>
      </c>
      <c r="F10" s="36" t="s">
        <v>65</v>
      </c>
      <c r="G10" s="37" t="s">
        <v>84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85</v>
      </c>
      <c r="N10" s="35" t="s">
        <v>93</v>
      </c>
      <c r="O10" s="37" t="s">
        <v>97</v>
      </c>
    </row>
    <row r="11" spans="1:16" s="36" customFormat="1" ht="18.75" customHeight="1" x14ac:dyDescent="0.25">
      <c r="A11" s="34">
        <v>43857</v>
      </c>
      <c r="B11" s="35" t="s">
        <v>71</v>
      </c>
      <c r="C11" s="35" t="s">
        <v>72</v>
      </c>
      <c r="D11" s="35" t="s">
        <v>81</v>
      </c>
      <c r="E11" s="35" t="s">
        <v>101</v>
      </c>
      <c r="F11" s="36" t="s">
        <v>65</v>
      </c>
      <c r="G11" s="37" t="s">
        <v>84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85</v>
      </c>
      <c r="N11" s="35" t="s">
        <v>94</v>
      </c>
      <c r="O11" s="37" t="s">
        <v>97</v>
      </c>
    </row>
    <row r="12" spans="1:16" s="36" customFormat="1" ht="18.75" customHeight="1" x14ac:dyDescent="0.25">
      <c r="A12" s="34">
        <v>43858</v>
      </c>
      <c r="B12" s="35" t="s">
        <v>71</v>
      </c>
      <c r="C12" s="35" t="s">
        <v>72</v>
      </c>
      <c r="D12" s="35" t="s">
        <v>82</v>
      </c>
      <c r="E12" s="35" t="s">
        <v>101</v>
      </c>
      <c r="F12" s="36" t="s">
        <v>65</v>
      </c>
      <c r="G12" s="37" t="s">
        <v>84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85</v>
      </c>
      <c r="N12" s="35" t="s">
        <v>95</v>
      </c>
      <c r="O12" s="37" t="s">
        <v>97</v>
      </c>
    </row>
    <row r="13" spans="1:16" s="36" customFormat="1" ht="18.75" customHeight="1" x14ac:dyDescent="0.25">
      <c r="A13" s="34">
        <v>43859</v>
      </c>
      <c r="B13" s="35" t="s">
        <v>71</v>
      </c>
      <c r="C13" s="35" t="s">
        <v>72</v>
      </c>
      <c r="D13" s="35" t="s">
        <v>83</v>
      </c>
      <c r="E13" s="35" t="s">
        <v>7</v>
      </c>
      <c r="F13" s="36" t="s">
        <v>65</v>
      </c>
      <c r="G13" s="37" t="s">
        <v>84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85</v>
      </c>
      <c r="N13" s="35" t="s">
        <v>96</v>
      </c>
      <c r="O13" s="37" t="s">
        <v>97</v>
      </c>
    </row>
    <row r="14" spans="1:16" s="33" customFormat="1" ht="18.75" customHeight="1" x14ac:dyDescent="0.25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25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25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25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25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25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25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25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25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25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25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25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25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25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25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25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25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25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25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25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25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25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25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25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25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25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25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25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25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25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25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25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25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25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25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25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25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25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25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25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25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25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25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25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25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25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25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25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25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25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25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25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25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25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25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25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25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25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25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25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25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25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25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25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25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25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25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25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25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25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25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25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25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25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25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25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25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25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25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25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25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25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25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25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25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25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25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25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25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25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25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25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25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25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25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25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25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25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25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25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25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25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25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25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25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25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25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25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25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25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25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25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25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25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25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25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25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25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25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25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25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25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25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25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25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25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25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25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25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25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25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25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25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25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25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25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25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25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25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25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25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25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25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25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25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25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25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25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25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25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25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25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25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25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25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25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25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25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25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25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25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25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25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25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25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25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25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25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25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25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25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25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25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25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25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25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25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25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25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25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25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25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25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25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25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25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25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25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25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25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25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25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25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25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25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25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25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25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25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25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25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25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25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25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25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25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25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25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25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25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25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25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25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25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25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25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25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25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25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25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25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25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25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25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25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25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25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25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25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25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25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25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25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25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25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25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25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25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25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25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25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25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25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25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25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25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25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25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25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25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25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25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25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25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25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25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25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25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25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25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25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25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25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25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25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25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25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25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25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25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25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25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25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25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25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25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25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25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25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25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25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25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25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25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25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25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25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25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25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25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25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25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25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25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25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25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25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25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25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25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25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25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25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25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25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25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25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25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25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25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25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25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25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25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25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25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25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25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25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25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25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25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25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25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25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25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25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25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25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25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25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25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25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25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25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25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25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25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25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25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25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25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25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25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25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25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25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25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25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25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25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25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25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25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25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25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25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25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25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25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25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25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25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25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25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25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25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25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25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25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25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25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25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25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25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25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25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25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25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25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25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25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25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25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25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25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25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25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25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25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25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25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25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25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25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25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25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25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25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25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25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25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25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25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25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25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25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25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25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25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25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25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25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25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25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25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25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25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25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25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25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25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25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25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25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25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25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25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25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25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25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25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25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25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25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25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25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25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25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25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25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25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25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25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25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25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25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25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25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25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25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25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25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25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25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25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25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25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25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25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25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25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25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25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25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25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25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25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25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25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25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25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25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25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25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25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25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25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25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25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25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25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25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25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25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25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25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25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25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25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25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25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25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25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25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25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25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25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25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25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25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25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25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25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25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25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25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25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25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25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25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25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25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25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25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25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25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25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25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25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25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25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25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25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25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25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25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25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25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25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25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25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25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25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25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25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25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25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25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25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25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25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25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25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25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25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25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25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25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25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25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25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25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25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25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25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25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25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25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25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25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25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25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25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25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25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25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25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25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25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25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25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25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25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25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25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25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25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25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25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25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25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25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25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25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25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25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25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25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25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25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25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25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25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25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25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25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25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25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25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25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25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25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25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25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25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25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25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25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25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25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25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25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25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25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25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25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25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25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25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25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25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25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25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25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25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25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25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25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25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25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25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25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25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25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25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25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25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25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25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25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25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25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25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25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25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25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25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25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25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25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25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25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25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25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25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25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25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25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25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25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25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25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25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25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25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25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25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25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25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25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25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25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25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25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25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25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25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25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25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25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25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25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25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25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25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25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25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25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25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25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25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25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25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25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25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25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25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25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25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25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25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25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25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25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25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25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25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25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25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25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25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25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25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25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25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25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25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25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25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25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25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25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25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25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25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25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25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25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25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25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25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25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25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25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25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25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25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25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25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25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25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25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25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25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25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25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25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25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25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25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25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25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25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25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25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25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25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25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25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25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25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25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25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25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25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25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25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25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25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25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25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25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25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25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25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25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25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25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25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25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25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25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25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25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25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25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25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25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25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25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25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25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25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25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25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25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25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25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25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25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25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25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25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25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25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25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25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25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25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25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25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25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25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25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25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25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25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25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25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25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25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25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25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25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25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25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25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25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25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25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25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25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25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25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25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25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25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25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25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25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25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25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25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25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25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25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25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25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25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25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25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25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25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25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25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25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25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25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25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25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25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25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25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25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25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25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25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25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25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25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25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25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25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25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25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25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25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25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25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25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25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25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25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25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25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25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25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25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25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25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25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25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25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25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25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25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25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25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25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25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25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25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25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25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25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25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25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25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25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25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25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25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25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25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25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25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25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25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25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25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25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25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25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25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25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25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25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25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25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25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25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25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25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25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25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25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25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25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25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25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25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25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25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25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25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25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25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25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25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25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25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25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25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25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25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25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25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25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25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25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25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25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25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25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25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25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25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25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25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25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25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25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25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25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25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25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25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25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25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25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25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25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25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25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25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25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25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25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25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25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25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25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25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25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25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25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25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25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25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25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25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25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25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25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25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25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25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25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25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25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25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25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25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25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25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25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25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25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25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25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25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25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25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25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25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25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25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25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25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25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25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25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25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25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25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25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25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25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25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25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25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25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25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25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25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25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25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25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25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25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25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25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25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25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25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25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25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25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25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25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25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25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25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25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25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25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25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25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25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25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25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25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25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25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25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25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25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25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25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25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25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25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25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25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25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25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25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25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25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25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25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25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25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25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25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25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25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25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25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25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25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25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25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25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25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25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25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25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25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25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25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25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25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25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25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25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25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25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25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25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25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25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25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25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25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25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25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25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25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25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25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25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25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25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25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25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25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25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25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25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25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25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25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25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25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25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25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25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25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25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25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25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25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25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25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25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25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25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25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25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25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25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25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25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25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25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25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25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25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25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25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25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25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25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25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25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25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25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25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25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25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25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25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25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25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25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25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25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25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25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25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25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25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25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25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25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25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25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25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25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25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25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25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25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25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25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25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25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25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25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25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25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25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25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25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25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25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25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25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25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25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25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25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25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25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25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25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25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25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25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25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25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25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25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25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25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25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25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25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25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25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25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25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25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25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25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25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25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25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25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25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25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25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25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25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25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25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25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25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25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25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25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25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25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25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25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25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25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25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25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25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25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25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25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25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25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25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25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25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25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25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25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25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25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25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25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25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25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25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25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25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25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25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25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25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25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25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25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25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25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25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25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25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25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25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25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25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25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25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25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25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25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25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25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25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25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25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25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25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25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25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25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25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25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25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25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25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25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25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25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25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25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25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25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25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25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25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25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25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25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25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25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25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25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25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25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25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25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25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25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25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25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25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25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25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25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25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25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25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25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25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25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25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25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25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25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25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25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25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25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25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25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25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25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25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25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25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25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25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25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25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25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25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25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25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25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25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25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25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25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25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25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25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25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25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25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25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25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25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25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25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25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25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25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25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25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25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25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25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25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25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25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25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25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25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25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25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25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25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25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25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25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25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25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25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25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25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25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25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25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25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25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25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25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25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25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25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25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25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25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25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25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25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25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25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25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25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25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25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25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25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25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25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25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25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25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25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25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25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25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25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25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25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25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25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25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25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25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25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25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25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25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25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25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25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25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25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25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25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25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25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25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25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25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25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25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25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25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25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25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25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25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25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25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25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25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25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25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25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25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25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25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25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25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25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25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25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25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25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25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25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25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25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25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25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25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25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25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25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25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25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25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25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25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25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25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25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25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25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25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25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25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25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25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25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25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25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25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25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25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25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25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25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25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25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25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25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25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25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25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25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25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25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25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25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25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25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25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25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25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25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25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25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25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25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25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25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25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25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25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25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25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25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25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25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25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25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25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25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25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25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25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25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25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25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25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25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25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25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25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25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25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25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25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25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25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25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25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25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25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25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25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25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25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25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25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25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25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25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25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25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25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25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25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25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25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25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25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25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25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25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25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25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25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25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25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25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25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25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25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25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25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25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25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25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25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25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25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25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25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25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25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25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25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25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25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25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25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25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25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25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25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25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25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25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25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25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25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25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25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25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25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25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25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25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25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25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25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25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25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25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25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25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25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25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25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25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25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25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25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25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25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25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25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25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25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25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25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25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25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25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25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25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25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25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25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25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25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25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25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25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25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25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25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25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25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25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25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25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25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25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25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25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25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25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25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25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25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25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25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25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25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25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25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25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25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25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25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25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25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25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25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25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25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25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25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25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25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25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25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25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25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25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25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25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25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25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25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25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25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25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25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25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25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25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25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25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25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25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25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25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25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25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25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25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25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25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25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25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25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25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25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25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25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25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25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25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25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25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25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25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25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25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25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25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25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25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25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25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25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25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25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25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25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25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25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25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25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25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25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25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25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25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25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25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25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25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25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25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25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25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25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25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25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25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25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25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25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25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25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25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25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25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25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25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25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25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25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25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25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25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25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25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25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25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25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25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25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25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25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25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25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25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25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25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25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25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25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25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25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25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25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25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25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25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25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25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25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25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25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25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25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25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25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25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25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25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25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25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25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25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25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25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25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25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25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25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25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25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25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25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25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25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25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25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25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25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25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25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25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25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25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25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25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25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25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25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25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25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25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25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25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25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25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25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25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25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25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25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25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25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25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25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25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25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25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25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25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25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25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25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25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25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25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25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25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25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25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25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25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25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25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25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25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25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25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25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25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25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25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25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25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25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25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25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25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25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25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25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25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25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25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25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25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25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25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25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25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25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25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25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25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25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25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25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25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25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25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25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25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25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25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25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25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25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25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25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25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25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25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25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25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25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25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25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25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25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25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25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25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25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25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25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25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25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25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25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25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25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25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25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25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25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25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25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25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25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25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25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25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25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25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25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25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25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25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25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25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25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25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25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25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25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25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25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25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25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25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25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25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25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25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25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25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25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25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25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25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25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25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25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25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25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25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25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25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25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25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25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25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25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25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25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25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25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25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25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25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25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25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25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25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25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25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25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25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25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25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25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25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25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25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25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25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25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25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25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25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25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25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25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25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25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25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25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25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25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25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25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25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25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25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25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25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25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25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25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25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25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25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25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25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25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25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25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25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25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25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25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25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25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25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25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25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25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25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25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25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25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25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25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25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25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25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25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25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25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25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25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25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25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25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25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25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25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25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25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25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25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25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25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25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25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25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25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25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25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25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25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25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25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25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25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25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25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25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25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25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25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25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25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25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25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25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25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25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25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25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25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25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25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25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25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25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25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25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25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25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25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25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25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25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25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25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25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25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25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25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25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25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25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25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25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25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25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25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25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25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25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25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25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25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25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25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25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25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25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25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25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25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25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25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25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25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25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25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25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25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25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25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25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25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25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25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25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25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25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25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25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25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25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25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25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25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25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25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25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25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25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25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25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25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25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25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25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25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25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25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25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25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25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25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25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25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25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25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25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25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25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25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25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25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25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25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25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25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25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25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25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25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25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25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25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25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25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25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25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25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25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25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25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25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25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25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25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25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25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25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25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25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25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25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25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25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25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25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25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25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25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25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25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25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25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25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25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25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25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25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25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25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25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25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25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25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25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25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25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25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25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25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25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25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25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25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25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25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25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25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25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25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25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25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25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25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25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25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25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25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25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25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25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25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25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25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25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25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25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25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25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25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25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25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25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25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25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25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25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25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25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25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25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25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25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25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25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25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25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25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25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25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25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25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25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25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25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25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25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25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25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25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25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25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25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25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25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25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25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25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25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25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25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25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25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25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25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25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25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25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25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25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25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25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25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25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25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25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25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25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25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25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25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25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25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25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25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25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25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25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25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25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25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25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25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25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25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25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25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25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25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25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25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25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25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25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25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25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25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25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25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25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25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25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25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25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25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25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25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25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25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25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25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25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25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25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25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25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25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25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25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25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25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25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25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25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25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25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25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25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25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25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25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25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25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25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25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25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25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25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25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25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25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25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25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25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25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25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25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25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25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25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25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25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25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25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25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25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25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25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25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25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25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25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25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25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25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25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25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25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25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25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25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25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25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25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25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25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25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25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25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25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25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25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25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25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25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25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25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25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25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25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25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25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25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25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25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25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25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25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25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25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25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25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25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25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25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25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25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25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25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25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25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25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25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25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25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25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25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25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25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25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25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25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25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25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25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25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25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25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25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25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25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25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25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25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25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25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25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25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25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25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25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25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25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25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25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25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25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25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25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25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25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25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25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25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25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25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25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25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25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25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25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25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25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25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25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25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25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25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25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25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25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25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25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25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25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25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25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25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25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25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25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25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25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25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25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25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25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25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25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25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25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25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25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25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25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25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25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25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25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25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25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25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25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25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25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25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25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25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25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25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25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25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25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25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25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25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25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25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25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25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25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25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25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25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25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25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25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25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25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25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25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25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25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25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25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25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25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25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25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25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25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25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25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25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25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25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25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25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25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25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25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25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25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25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25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25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25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25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25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25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25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25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25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25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25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25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25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25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25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25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25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25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25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25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25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25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25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25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25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25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25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25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25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25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25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25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25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25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25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25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25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25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25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25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25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25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25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25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25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25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25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25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25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25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25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25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25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25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25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25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25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25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25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25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25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25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25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25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25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25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25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25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25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25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25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25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25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25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25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25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25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25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25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25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25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25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25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25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25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25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25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25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25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25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25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25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25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25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25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25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25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25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25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25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25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25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25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25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25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25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25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25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25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25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25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25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25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25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25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25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25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25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25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25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25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25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25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25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25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25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25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25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25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25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25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25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25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25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25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25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25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25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25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25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25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25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25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25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25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25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25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25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25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25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25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25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25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25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25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25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25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25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25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25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25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25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25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25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25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25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25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25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25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25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25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25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25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25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25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25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25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25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25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25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25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25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25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25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25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25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25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25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25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25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25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25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25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25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25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25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25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25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25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25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25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25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25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25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25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25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25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25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25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25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25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25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25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25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25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25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25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25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25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25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25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25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25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25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25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25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25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25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25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25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25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25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25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25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25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25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25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25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25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25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25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25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25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25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25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25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25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25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25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25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25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25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25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25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25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25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25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25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25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25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25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25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25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25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25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25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25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25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25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25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25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25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25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25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25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25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25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25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25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25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25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25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25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25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25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25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25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25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25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25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25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25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25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25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25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25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25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25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25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25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25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25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25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25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25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25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25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25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25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25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25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25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25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25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25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25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25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25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25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25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25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25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25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25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25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25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25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25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25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25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25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25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25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25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25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25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25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25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25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25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25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25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25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25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25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25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25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25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25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25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25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25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25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25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25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25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25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25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25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25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25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25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25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25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25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25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25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25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25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25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25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25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25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25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25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25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25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25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25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25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25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25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25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25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25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25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25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25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25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25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25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25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25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25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25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25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25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25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25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25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25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25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25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25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25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25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25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25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25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25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25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25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25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25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25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25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25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25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25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25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25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25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25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25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25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25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25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25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25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25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25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25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25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25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25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25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25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25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25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25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25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25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25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25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25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25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25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25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25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25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25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25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25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25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25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25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25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25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25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25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25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25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25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25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25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25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25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25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25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25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25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25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25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25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25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25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25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25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25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25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25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25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25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25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25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25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25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25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25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25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25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25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25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25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25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25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25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25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25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25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25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25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25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25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25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25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25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25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25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25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25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25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25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25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25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25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25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25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25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25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25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25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25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25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25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25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25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25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25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25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25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25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25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25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25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25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25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25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25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25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25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25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25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25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25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25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25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25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25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25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25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25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25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25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25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25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25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25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25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25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25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25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25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25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25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25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25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25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25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25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25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25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25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25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25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25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25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25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25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25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25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25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25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25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25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25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25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25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25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25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25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25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25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25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25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25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25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25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25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25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25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25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25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25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25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25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25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25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25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25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25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25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25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25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25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25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25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25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25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25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25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25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25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25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25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25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25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25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25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25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25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25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25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25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25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25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25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25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25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25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25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25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25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25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25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25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25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25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25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25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25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25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25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25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25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25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25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25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25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25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25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25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25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25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25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25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25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25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25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25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25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25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25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25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25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25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25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25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25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25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25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25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25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25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25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25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25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25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25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25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25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25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25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25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25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25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25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25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25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25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25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25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25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25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25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25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25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25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25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25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25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25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25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25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25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25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25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25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25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25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25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25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25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25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25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25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25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25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25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25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25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25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25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25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25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25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25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25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25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25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25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25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25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25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25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25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25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25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25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25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25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25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25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25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25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25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25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25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25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25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25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25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25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25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25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25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25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25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25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25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25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25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25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25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25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25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25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25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25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25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25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25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25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25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25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25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25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25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25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25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25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25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25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25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25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25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25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25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25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25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25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25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25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25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25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25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25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25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25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25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25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25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25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25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25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25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25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25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25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25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25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25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25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25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25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25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25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25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25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25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25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25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25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25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25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25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25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25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25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25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25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25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25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25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25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25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25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25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25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25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25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25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25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25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25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25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25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25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25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25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25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25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25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25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25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25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25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25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25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25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25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25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25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25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25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25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25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25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25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25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25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25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25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25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25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25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25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25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25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25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25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25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25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25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25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25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25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25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25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25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25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25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25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25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25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25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25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25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25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25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25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25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25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25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25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25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25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25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25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25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25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25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25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25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25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25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25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25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25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25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25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25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25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25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25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25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25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25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25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25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25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25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25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25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25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25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25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25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25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25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25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25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25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25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25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25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25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25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25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25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25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25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25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25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25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25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25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25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25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25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25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25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25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25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25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25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25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25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25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25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25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25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25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25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25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25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25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25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25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25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25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25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25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25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25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25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25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25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25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25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25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25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25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25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25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25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25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25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25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25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25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25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25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25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25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25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25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25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25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25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25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25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25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25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25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25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25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25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25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25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25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25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25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25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25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25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25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25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25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25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25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25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25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25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25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25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25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25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25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25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25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25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25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25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25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25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25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25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25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25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25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25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25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25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25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25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25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25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25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25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25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25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25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25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25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25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25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25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25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25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25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25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25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25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25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25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25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25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25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25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25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25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25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25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25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25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25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25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25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25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25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25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25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25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25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25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25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25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25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25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25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25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25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25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25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25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25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25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25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25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25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25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25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25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25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25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25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25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25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25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25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25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25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25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25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25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25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25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25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25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25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25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25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25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25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25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25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25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25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25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25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25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25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25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25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25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25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25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25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25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25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25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25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25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25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25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25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25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25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25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25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25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25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25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25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25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25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25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25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25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25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25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25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25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25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25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25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25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25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25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25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25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25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25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25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25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25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25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25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25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25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25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25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25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25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25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25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25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25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25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25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25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25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25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25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25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25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25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25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25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25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25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25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25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25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25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25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25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25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25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25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25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25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25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25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25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25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25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25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25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25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25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25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25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25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25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25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25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25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25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25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25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25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25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25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25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25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25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25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25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25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25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25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25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25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25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25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25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25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25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25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25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25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25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25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25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25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25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25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25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25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25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25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25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25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25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25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25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25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25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25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25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25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25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25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25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25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25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25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25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25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25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25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25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25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25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25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25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25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25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25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25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25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25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25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25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25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25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25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25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25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25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25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25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25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25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25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25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25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25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25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25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25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25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25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25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25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25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25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25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25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25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25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25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25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25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25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25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25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25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25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25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25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25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25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25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25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25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25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25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25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25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25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25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25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25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25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25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25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25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25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25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25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25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25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25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25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25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25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25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25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25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25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25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25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25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25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25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25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25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25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25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25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25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25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25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25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25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25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25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25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25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25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25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25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25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25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25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25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25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25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25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25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25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25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25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25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25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25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25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25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25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25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25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25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25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25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25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25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25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25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25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25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25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25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25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25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25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25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25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25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25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25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25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25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25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25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25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25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25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25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25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25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25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25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25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25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25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25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25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25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25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25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25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25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25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25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25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25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25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25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25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25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25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25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25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25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25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25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25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25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25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25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25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25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25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25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25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25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25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25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25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25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25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25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25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25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25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25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25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25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25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25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25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25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25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25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25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25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25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25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25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25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25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25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25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25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25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25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25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25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25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25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25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25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25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25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25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25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25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25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25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25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25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25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25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25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25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25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25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25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25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25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25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25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25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25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25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25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25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25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25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25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25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25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25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25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25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25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25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25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25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25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25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25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25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25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25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25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25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25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25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25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25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25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25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25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25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25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25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25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25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25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25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25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25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25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25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25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25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25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25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25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25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25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25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25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25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25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25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25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25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25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25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25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25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25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25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25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25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25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25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25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25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25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25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25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25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25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25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25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25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25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25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25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25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25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25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25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25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25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25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25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25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25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25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25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25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25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25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25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25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25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25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25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25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25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25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25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25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25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25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25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25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25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25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25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25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25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25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25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25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25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25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25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25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25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25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25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25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25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25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25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25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25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25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25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25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25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25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25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25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25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25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25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25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25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25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25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25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25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25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25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25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25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25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25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25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25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25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25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25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25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25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25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25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25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25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25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25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25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25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25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25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25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25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25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25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25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25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25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25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25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25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25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25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25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25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25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25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25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25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25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25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25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25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25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25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25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25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25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25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25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25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25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25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25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25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25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25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25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25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25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25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25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25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25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25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25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25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25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25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25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25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25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25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25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25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25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25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25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25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25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25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25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25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25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25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25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25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25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25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25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25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25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25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25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25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25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25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25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25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25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25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25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25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25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25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25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25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25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25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25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25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25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25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25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25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25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25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25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25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25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25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25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25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25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25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25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25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25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25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25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25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25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25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25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25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25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25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25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25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25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25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25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25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25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25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25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25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25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25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25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25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25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25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25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25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25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25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25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25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25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25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25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25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25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25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25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25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25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25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25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25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25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25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25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25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25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25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25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25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25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25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25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25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25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25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25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25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25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25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25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25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25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25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25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25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25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25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25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25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25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25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25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25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25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25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25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25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25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25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25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25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25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25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25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25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25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25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25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25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25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25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25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25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25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25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25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25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25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25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25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25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25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25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25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25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25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25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25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25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25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25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25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25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25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25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25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25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25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25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25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25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25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25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25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25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25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25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25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25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25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25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25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25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25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25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25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25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25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25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25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25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25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25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25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25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25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25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25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25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25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25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25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25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25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25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25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25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25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25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25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25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25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25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25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25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25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25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25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25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25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25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25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25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25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25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25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25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25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25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25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25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25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25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25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25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25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25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25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25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25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25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25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25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25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25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25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25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25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25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25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25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25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25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25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25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25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25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25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25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25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25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25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25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25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25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25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25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25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25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25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25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25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25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25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25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25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25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25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25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25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25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25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25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25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25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25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25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25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25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25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25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25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25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25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25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25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25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25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25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25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25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25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25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25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25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25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25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25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25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25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25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25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25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25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25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25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25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25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25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25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25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25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25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25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25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25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25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25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25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25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25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25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25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25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25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25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25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25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25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25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25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25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25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25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25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25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25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25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25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25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25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25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25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25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25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25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25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25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25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25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25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25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25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25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25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25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25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25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25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25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25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25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25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25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25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25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25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25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25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25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25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25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25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25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25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25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25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25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25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25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25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25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25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25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25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25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25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25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25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25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25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25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25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25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25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25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25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25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25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25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25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25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25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25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25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25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25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25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25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25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25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25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25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25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25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25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25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25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25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25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25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25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25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25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25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25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25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25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25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25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25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25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25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25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25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25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25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25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25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25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25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25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25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25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25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25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25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25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25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25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25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25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25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25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25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25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25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25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25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25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25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25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25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25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25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25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25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25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25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25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25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25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25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25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25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25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25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25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25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25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25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25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25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25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25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25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25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25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25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25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25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25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25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25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25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25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25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25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25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25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25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25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25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25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25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25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25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25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25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25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25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25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25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25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25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25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25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25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25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25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25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25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25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25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25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25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25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25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25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25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25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25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25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25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25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25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25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25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25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25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25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25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25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25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25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25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25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25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25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25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25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25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25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25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25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25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25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25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25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25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25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25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25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25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25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25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25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25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25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25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25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25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25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25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25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25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25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25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25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25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25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25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25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25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25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25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25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25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25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25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25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25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25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25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25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25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25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25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25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25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25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25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25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25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25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25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25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25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25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25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25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25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25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25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25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25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25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25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25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25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25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25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25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25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25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25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25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25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25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25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25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25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25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25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25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25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25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25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25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25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25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25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25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25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25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25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25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25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25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25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25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25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25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25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25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25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25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25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25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25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25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25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25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25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25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25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25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25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25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25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25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25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25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25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25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25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25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25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25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25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25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25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25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25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25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25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25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25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25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25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25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25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25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25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25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25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25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25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25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25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25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25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25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25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25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25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25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25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25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25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25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25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25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25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25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25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25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25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25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25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25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25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25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25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25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25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25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25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25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25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25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25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25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25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25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25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25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25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25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25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25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25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25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25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25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25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25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25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25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25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25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25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25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25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25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25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25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25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25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25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25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25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25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25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25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25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25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25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25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25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25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25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25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25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25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25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25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25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25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25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25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25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25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25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25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25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25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25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25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25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25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25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25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25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25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25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25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25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25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25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25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25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25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25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25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25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25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25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25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25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25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25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25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25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25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25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25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25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25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25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25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25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25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25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25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25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25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25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25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25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25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25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25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25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25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25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25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25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25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25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25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25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25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25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25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25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25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25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25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25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25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25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25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25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25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25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25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25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25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25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25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25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25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25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25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25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25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25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25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25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25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25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25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25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25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25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25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25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25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25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25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25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25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25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25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25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25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25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25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25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25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25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25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25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25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25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25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25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25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25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25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25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25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25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25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25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25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25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25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25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25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25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25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25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25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25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25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25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25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25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25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25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25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25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25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25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25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25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25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25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25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25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25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25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25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25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25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25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25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25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25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25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25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25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25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25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25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25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25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25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25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25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25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25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25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25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25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25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25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25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25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25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25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25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25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25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25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25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25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25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25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25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25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25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25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25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25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25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25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25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25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25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25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25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25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25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25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25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25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25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25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25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25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25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25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25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25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25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25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25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25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25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25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25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25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25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25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25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25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25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25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25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25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25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25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25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25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25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25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25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25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25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25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25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25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25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25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25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25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25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25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25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25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25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25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25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25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25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25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25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25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25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25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25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25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25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25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25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25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25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25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25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25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25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25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25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25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25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25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25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25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25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25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25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25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25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25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25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25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25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25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25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25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25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25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25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25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25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25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25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25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25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25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25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25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25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25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25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25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25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25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25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25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25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25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25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25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25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25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25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25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25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25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25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25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25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25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25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25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25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25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25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25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25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25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25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25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25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25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25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25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25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25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25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25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25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25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25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25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25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25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25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25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25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25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25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25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25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25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25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25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25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25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25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25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25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25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25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25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25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25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25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25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25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25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25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25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25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25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25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25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25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25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25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25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25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25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25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25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25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25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25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25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25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25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25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25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25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25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25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25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25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25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25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25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25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25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25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25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25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25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25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25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25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25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25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25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25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25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25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25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25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25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25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25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25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25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25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25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25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25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25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25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25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25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25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25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25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25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25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25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25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25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25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25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25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25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25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25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25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25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25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25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25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25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25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25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25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25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25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25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25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25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25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25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25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25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25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25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25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25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25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25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25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25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25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25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25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25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25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25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25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25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25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25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25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25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25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25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25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25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25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25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25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25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25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25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25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25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25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25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25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25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25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25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25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25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25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25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25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25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25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25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25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25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25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25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25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25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25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25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25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25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25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25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25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25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25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25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25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25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25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25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25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25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25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25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25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25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25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25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25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25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25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25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25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25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25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25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f0d00f47-b60f-4d20-bd6d-30fd4dbf3b2e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MACROS</vt:lpstr>
      <vt:lpstr>FAC_BOL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JOEL</cp:lastModifiedBy>
  <dcterms:created xsi:type="dcterms:W3CDTF">2019-06-03T14:06:18Z</dcterms:created>
  <dcterms:modified xsi:type="dcterms:W3CDTF">2025-12-01T17:19:42Z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